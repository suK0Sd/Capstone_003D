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" sheetId="1" state="visible" r:id="rId3"/>
    <sheet name="Cuestionario" sheetId="2" state="visible" r:id="rId4"/>
    <sheet name="Canvas" sheetId="3" state="visible" r:id="rId5"/>
    <sheet name="Habilitado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<sst xmlns="http://schemas.openxmlformats.org/spreadsheetml/2006/main" count="236" uniqueCount="221">
  <si>
    <t xml:space="preserve">Catálogo de casos de uso · Marketing y Generación de Demanda B2B</t>
  </si>
  <si>
    <t xml:space="preserve">12 casos organizados en 2 bloques: generación de demanda y leads · contenido y creatividad. Marca en la última columna los casos que aplican a tu organización.</t>
  </si>
  <si>
    <t xml:space="preserve">#</t>
  </si>
  <si>
    <t xml:space="preserve">Caso de uso</t>
  </si>
  <si>
    <t xml:space="preserve">Descripción</t>
  </si>
  <si>
    <t xml:space="preserve">Familia de IA</t>
  </si>
  <si>
    <t xml:space="preserve">KPI típico</t>
  </si>
  <si>
    <t xml:space="preserve">Datos requeridos</t>
  </si>
  <si>
    <t xml:space="preserve">Esfuerzo</t>
  </si>
  <si>
    <t xml:space="preserve">Madurez (1-5)</t>
  </si>
  <si>
    <t xml:space="preserve">Compliance / riesgo</t>
  </si>
  <si>
    <t xml:space="preserve">¿Aplica a nosotros?</t>
  </si>
  <si>
    <t xml:space="preserve">Notas</t>
  </si>
  <si>
    <t xml:space="preserve">BLOQUE A — GENERACIÓN Y CALIFICACIÓN DE DEMANDA</t>
  </si>
  <si>
    <t xml:space="preserve">Lead scoring inbound predictivo</t>
  </si>
  <si>
    <t xml:space="preserve">Asigna un puntaje de probabilidad de conversión a cada lead inbound a partir de atributos firmográficos, comportamiento web y respuesta a contenido. Permite a SDRs priorizar leads de mayor valor.</t>
  </si>
  <si>
    <t xml:space="preserve">ML clásico</t>
  </si>
  <si>
    <t xml:space="preserve">Conversión MQL→SQL, productividad SDR, calidad del pipeline</t>
  </si>
  <si>
    <t xml:space="preserve">Histórico de leads con outcome (12+ meses), atributos firmográficos, comportamiento web/email</t>
  </si>
  <si>
    <t xml:space="preserve">Quick Win</t>
  </si>
  <si>
    <t xml:space="preserve">Sesgo a leads ganados anteriores; explicabilidad para SDRs; auditoría periódica del modelo.</t>
  </si>
  <si>
    <t xml:space="preserve">Enriquecimiento automático de leads y cuentas</t>
  </si>
  <si>
    <t xml:space="preserve">Completa información faltante en CRM (industria, tamaño, tecnografía, contactos clave) a partir de fuentes públicas, intent data y APIs comerciales. Reduce trabajo manual de SDRs y mejora segmentación.</t>
  </si>
  <si>
    <t xml:space="preserve">ML + GenAI</t>
  </si>
  <si>
    <t xml:space="preserve">Calidad de datos del CRM, productividad SDR, tasa de respuesta</t>
  </si>
  <si>
    <t xml:space="preserve">Datos parciales del CRM, fuentes públicas (LinkedIn, web), APIs comerciales (ZoomInfo, Apollo)</t>
  </si>
  <si>
    <t xml:space="preserve">Privacidad de datos personales; cumplimiento LFPDPPP/GDPR; trazabilidad de fuentes.</t>
  </si>
  <si>
    <t xml:space="preserve">Account-based intelligence con intent data</t>
  </si>
  <si>
    <t xml:space="preserve">Identifica las cuentas con mayor probabilidad de compra a partir de signals de intención (búsquedas, descargas, asistencia a eventos, hiring) y prioriza el esfuerzo de marketing y SDRs sobre ellas.</t>
  </si>
  <si>
    <t xml:space="preserve">ML clásico + intent data</t>
  </si>
  <si>
    <t xml:space="preserve">Hit rate sobre cuentas trabajadas, eficiencia de prospección, ACV promedio</t>
  </si>
  <si>
    <t xml:space="preserve">ICP definido, base de cuentas, intent signals (Bombora, 6sense), histórico de cuentas ganadas</t>
  </si>
  <si>
    <t xml:space="preserve">Mediano</t>
  </si>
  <si>
    <t xml:space="preserve">Calidad de los signals; sesgo a clientes ganados anteriores; cumplimiento GDPR/LFPDPPP.</t>
  </si>
  <si>
    <t xml:space="preserve">Email nurturing inteligente y send-time optimization</t>
  </si>
  <si>
    <t xml:space="preserve">Optimiza qué contenido enviar a cada contacto, en qué momento y con qué cadencia, en función del comportamiento previo y la etapa del journey. Mejora apertura, click y conversión.</t>
  </si>
  <si>
    <t xml:space="preserve">ML clásico + GenAI</t>
  </si>
  <si>
    <t xml:space="preserve">Open rate, CTR, conversión MQL, deliverability</t>
  </si>
  <si>
    <t xml:space="preserve">Histórico de envíos con outcome, biblioteca de contenido etiquetada, datos de comportamiento por contacto</t>
  </si>
  <si>
    <t xml:space="preserve">Consentimiento opt-in; respeto a unsubscribe; trazabilidad de versiones del contenido.</t>
  </si>
  <si>
    <t xml:space="preserve">Optimización de campañas pagadas (paid media)</t>
  </si>
  <si>
    <t xml:space="preserve">Asistente que analiza performance de campañas en Google/LinkedIn/Meta, recomienda reasignación de presupuesto, detecta audiencias de alto rendimiento y sugiere ajustes de copy y bidding.</t>
  </si>
  <si>
    <t xml:space="preserve">ML + Optimización + GenAI</t>
  </si>
  <si>
    <t xml:space="preserve">CPL, CAC, ROAS, eficiencia de presupuesto</t>
  </si>
  <si>
    <t xml:space="preserve">Datos de plataformas de paid media (Google Ads, LinkedIn, Meta), CRM con outcome, atribución</t>
  </si>
  <si>
    <t xml:space="preserve">Calidad del dato de atribución; sesgos de plataforma; explicabilidad de recomendaciones.</t>
  </si>
  <si>
    <t xml:space="preserve">Análisis de atribución multi-touch</t>
  </si>
  <si>
    <t xml:space="preserve">Modelo data-driven que asigna crédito a cada touchpoint en el journey de la cuenta, reemplazando reglas simples (first/last touch) por una visión real del aporte de cada canal y contenido.</t>
  </si>
  <si>
    <t xml:space="preserve">Asignación de crédito por canal, optimización de mix, ROI por iniciativa</t>
  </si>
  <si>
    <t xml:space="preserve">Eventos completos del journey (web, email, paid, eventos, ventas), CRM con outcome</t>
  </si>
  <si>
    <t xml:space="preserve">Calidad e integridad del tracking; sesgo de cookies third-party; explicabilidad para CMO.</t>
  </si>
  <si>
    <t xml:space="preserve">BLOQUE B — CONTENIDO Y CREATIVIDAD</t>
  </si>
  <si>
    <t xml:space="preserve">Generación de contenido editorial B2B</t>
  </si>
  <si>
    <t xml:space="preserve">Borradores asistidos de blog posts, whitepapers, case studies y eBooks a partir de briefs, entrevistas a expertos y contenido fuente. Acelera producción y libera tiempo de marketing senior.</t>
  </si>
  <si>
    <t xml:space="preserve">GenAI</t>
  </si>
  <si>
    <t xml:space="preserve">Volumen y velocidad de publicación, costo por pieza, engagement</t>
  </si>
  <si>
    <t xml:space="preserve">Briefs, guidelines de marca, contenido histórico, entrevistas con SMEs, taxonomía editorial</t>
  </si>
  <si>
    <t xml:space="preserve">Aprobación humana obligatoria; alucinaciones; trazabilidad de fuentes; tono de marca.</t>
  </si>
  <si>
    <t xml:space="preserve">Personalización de contenido y mensajes a escala</t>
  </si>
  <si>
    <t xml:space="preserve">Adapta automáticamente landing pages, emails y propuestas según industria, cargo, etapa del journey y signals de la cuenta. Genera variantes de copy y assets sin esfuerzo manual.</t>
  </si>
  <si>
    <t xml:space="preserve">GenAI + ML</t>
  </si>
  <si>
    <t xml:space="preserve">Conversión por segmento, engagement, productividad de marketing</t>
  </si>
  <si>
    <t xml:space="preserve">ICP, segmentación documentada, biblioteca de contenido, datos de comportamiento, plantillas</t>
  </si>
  <si>
    <t xml:space="preserve">Aprobación humana de variantes sensibles; consistencia de marca; trazabilidad de versiones.</t>
  </si>
  <si>
    <t xml:space="preserve">Adaptación multilingüe y localización de contenido</t>
  </si>
  <si>
    <t xml:space="preserve">Traduce y localiza contenido B2B (web, blog, email, paid) a múltiples idiomas y mercados conservando tono de marca, terminología técnica y referencias culturales relevantes.</t>
  </si>
  <si>
    <t xml:space="preserve">Velocidad de salida a mercado, costo de localización, engagement por mercado</t>
  </si>
  <si>
    <t xml:space="preserve">Glosario corporativo, contenido fuente, guidelines de marca por mercado</t>
  </si>
  <si>
    <t xml:space="preserve">Revisión humana por mercado; calidad técnica del idioma; sensibilidades culturales.</t>
  </si>
  <si>
    <t xml:space="preserve">Generación de creatividades visuales (imagen / video)</t>
  </si>
  <si>
    <t xml:space="preserve">Producción asistida de imágenes para social, banners, miniaturas de video y assets para landing/email a partir de prompts y guidelines de marca. Reduce dependencia de agencias para volumen estándar.</t>
  </si>
  <si>
    <t xml:space="preserve">GenAI Visual</t>
  </si>
  <si>
    <t xml:space="preserve">Volumen de creatividades, costo por asset, velocidad de iteración, CTR</t>
  </si>
  <si>
    <t xml:space="preserve">Guidelines visuales, biblioteca de marca, prompts maestros, contenido de referencia</t>
  </si>
  <si>
    <t xml:space="preserve">Derechos de autor de imágenes generadas; consistencia visual; aprobación de marca.</t>
  </si>
  <si>
    <t xml:space="preserve">SEO programático y optimización para búsqueda</t>
  </si>
  <si>
    <t xml:space="preserve">Genera y optimiza páginas a escala (long-tail keywords, FAQs, glosarios, comparadores) con contenido relevante por intent. Asistente para análisis de keywords, gaps y oportunidades de ranking.</t>
  </si>
  <si>
    <t xml:space="preserve">Tráfico orgánico, posicionamiento por keyword, leads orgánicos</t>
  </si>
  <si>
    <t xml:space="preserve">Keyword research, contenido propio, datos de Search Console / SEMrush, intent data</t>
  </si>
  <si>
    <t xml:space="preserve">Calidad y unicidad del contenido; políticas anti-spam de buscadores; supervisión humana.</t>
  </si>
  <si>
    <t xml:space="preserve">Asistente conversacional en sitio web / landing pages</t>
  </si>
  <si>
    <t xml:space="preserve">Chatbot de marketing que responde preguntas de visitantes anónimos, califica intent en tiempo real, recomienda contenido y agenda reuniones con SDRs cuando detecta lead caliente.</t>
  </si>
  <si>
    <t xml:space="preserve">GenAI / RAG</t>
  </si>
  <si>
    <t xml:space="preserve">Conversión web, leads cualificados generados, tiempo a primera reunión</t>
  </si>
  <si>
    <t xml:space="preserve">KB de productos y soluciones, criterios de calificación, integración con CRM y calendario</t>
  </si>
  <si>
    <t xml:space="preserve">Riesgo de alucinación; trazabilidad de conversaciones; escalamiento a humano cuando aplica.</t>
  </si>
  <si>
    <t xml:space="preserve">RESUMEN DE SELECCIONES</t>
  </si>
  <si>
    <t xml:space="preserve">Casos marcados "Sí":</t>
  </si>
  <si>
    <t xml:space="preserve">Casos marcados "Tal vez":</t>
  </si>
  <si>
    <t xml:space="preserve">Casos marcados "No":</t>
  </si>
  <si>
    <t xml:space="preserve">Total candidatos (Sí + Tal vez):</t>
  </si>
  <si>
    <t xml:space="preserve">Cuestionario de autoevaluación · Marketing y Generación de Demanda B2B</t>
  </si>
  <si>
    <t xml:space="preserve">16 preguntas en 4 bloques. Escala 1-5. Calcula automáticamente Pain × Readiness y entrega una recomendación estratégica.</t>
  </si>
  <si>
    <t xml:space="preserve">Escala:</t>
  </si>
  <si>
    <t xml:space="preserve">1 = no existe / muy bajo  ·  2 = bajo  ·  3 = medio  ·  4 = alto  ·  5 = sistemático / muy alto</t>
  </si>
  <si>
    <t xml:space="preserve">Pregunta</t>
  </si>
  <si>
    <t xml:space="preserve">Puntaje (1-5)</t>
  </si>
  <si>
    <t xml:space="preserve">BLOQUE A — Pain de marketing y generación de demanda</t>
  </si>
  <si>
    <t xml:space="preserve">A1</t>
  </si>
  <si>
    <t xml:space="preserve">El % de leads inbound desperdiciados (sin contacto, mal calificados, sin nurturing) es:</t>
  </si>
  <si>
    <t xml:space="preserve">A2</t>
  </si>
  <si>
    <t xml:space="preserve">El tiempo y esfuerzo del equipo dedicado a producir contenido manualmente es:</t>
  </si>
  <si>
    <t xml:space="preserve">A3</t>
  </si>
  <si>
    <t xml:space="preserve">La presión de generar más leads cualificados (MQL/SQL) y más rápido es:</t>
  </si>
  <si>
    <t xml:space="preserve">A4</t>
  </si>
  <si>
    <t xml:space="preserve">La inconsistencia de mensajes, branding y personalización a través de canales es:</t>
  </si>
  <si>
    <t xml:space="preserve">BLOQUE B — Readiness de datos de marketing</t>
  </si>
  <si>
    <t xml:space="preserve">B1</t>
  </si>
  <si>
    <t xml:space="preserve">Tenemos un CRM corporativo único con histórico de 12+ meses de leads, cuentas y outcome:</t>
  </si>
  <si>
    <t xml:space="preserve">B2</t>
  </si>
  <si>
    <t xml:space="preserve">Existe instrumentación adecuada del sitio web (eventos, formularios, tracking) y datos de comportamiento por contacto:</t>
  </si>
  <si>
    <t xml:space="preserve">B3</t>
  </si>
  <si>
    <t xml:space="preserve">Las plataformas de marketing automation, paid media y CRM están integradas (no aisladas):</t>
  </si>
  <si>
    <t xml:space="preserve">B4</t>
  </si>
  <si>
    <t xml:space="preserve">Existe un ICP (Ideal Customer Profile) y modelo de segmentación documentado y operativo:</t>
  </si>
  <si>
    <t xml:space="preserve">BLOQUE C — Readiness del equipo de marketing</t>
  </si>
  <si>
    <t xml:space="preserve">C1</t>
  </si>
  <si>
    <t xml:space="preserve">El liderazgo de marketing está abierto a incorporar IA y patrocina la iniciativa:</t>
  </si>
  <si>
    <t xml:space="preserve">C2</t>
  </si>
  <si>
    <t xml:space="preserve">Existen aliados naturales (champions tecnológicos / superusuarios) en el equipo:</t>
  </si>
  <si>
    <t xml:space="preserve">C3</t>
  </si>
  <si>
    <t xml:space="preserve">La cultura del equipo tolera contenido generado por IA con humano-en-el-bucle:</t>
  </si>
  <si>
    <t xml:space="preserve">C4</t>
  </si>
  <si>
    <t xml:space="preserve">El equipo ha pasado por proyectos de transformación o adopción tecnológica previos con resultados razonables:</t>
  </si>
  <si>
    <t xml:space="preserve">BLOQUE D — Alineación estratégica y comercial</t>
  </si>
  <si>
    <t xml:space="preserve">D1</t>
  </si>
  <si>
    <t xml:space="preserve">Tenemos metas explícitas de aumentar pipeline / reducir CAC / acelerar ciclo comercial:</t>
  </si>
  <si>
    <t xml:space="preserve">D2</t>
  </si>
  <si>
    <t xml:space="preserve">Hay presupuesto razonable para invertir en IA en marketing en los próximos 12 meses:</t>
  </si>
  <si>
    <t xml:space="preserve">D3</t>
  </si>
  <si>
    <t xml:space="preserve">La regulación aplicable nos permite usar IA en comunicación con leads/clientes (LFPDPPP, GDPR, opt-in):</t>
  </si>
  <si>
    <t xml:space="preserve">D4</t>
  </si>
  <si>
    <t xml:space="preserve">Existe alineación con Ventas (SLAs, definiciones MQL/SQL, handoff) que sostiene la iniciativa:</t>
  </si>
  <si>
    <t xml:space="preserve">RESULTADOS</t>
  </si>
  <si>
    <t xml:space="preserve">Pain score (Bloque A):</t>
  </si>
  <si>
    <t xml:space="preserve">Readiness score (Bloques B + C + D):</t>
  </si>
  <si>
    <t xml:space="preserve">RECOMENDACIÓN:</t>
  </si>
  <si>
    <t xml:space="preserve">Promedios por bloque (referencia):</t>
  </si>
  <si>
    <t xml:space="preserve">Bloque A — Pain:</t>
  </si>
  <si>
    <t xml:space="preserve">Bloque B — Datos:</t>
  </si>
  <si>
    <t xml:space="preserve">Bloque C — Equipo:</t>
  </si>
  <si>
    <t xml:space="preserve">Bloque D — Estrategia:</t>
  </si>
  <si>
    <t xml:space="preserve">Matriz 2×2 — Pain × Readiness</t>
  </si>
  <si>
    <t xml:space="preserve">Readiness BAJA (&lt; 3.5)</t>
  </si>
  <si>
    <t xml:space="preserve">Readiness ALTA (≥ 3.5)</t>
  </si>
  <si>
    <t xml:space="preserve">Pain ALTO (≥ 3.5)</t>
  </si>
  <si>
    <t xml:space="preserve">Invertir en habilitadores primero</t>
  </si>
  <si>
    <t xml:space="preserve">QUICK WIN PRIORITARIO</t>
  </si>
  <si>
    <t xml:space="preserve">Pain BAJO (&lt; 3.5)</t>
  </si>
  <si>
    <t xml:space="preserve">Aún no es momento</t>
  </si>
  <si>
    <t xml:space="preserve">Oportunidad sin urgencia</t>
  </si>
  <si>
    <t xml:space="preserve">Canvas de oportunidad · Marketing y Generación de Demanda B2B</t>
  </si>
  <si>
    <t xml:space="preserve">Documenta una oportunidad concreta en una página. Reemplaza el texto de ejemplo (en cursiva) con tu información.</t>
  </si>
  <si>
    <t xml:space="preserve">1.  Nombre del caso</t>
  </si>
  <si>
    <t xml:space="preserve">   Prompt: ≤ 8 palabras</t>
  </si>
  <si>
    <t xml:space="preserve">Ej. Lead scoring inbound para vertical financiero</t>
  </si>
  <si>
    <t xml:space="preserve">2.  Pain point concreto</t>
  </si>
  <si>
    <t xml:space="preserve">   Prompt: Hoy nuestro marketing/comercial sufre X cuando Y</t>
  </si>
  <si>
    <t xml:space="preserve">Ej. Hoy nuestros 6 SDRs trabajan ~2.500 leads/mes con conversión MQL→SQL de 14%; pasan 50% del tiempo descartando leads pobres.</t>
  </si>
  <si>
    <t xml:space="preserve">3.  Frecuencia y volumen</t>
  </si>
  <si>
    <t xml:space="preserve">   Prompt: ¿Cuántos leads/cuentas/piezas afecta por mes y a quién?</t>
  </si>
  <si>
    <t xml:space="preserve">Ej. ~2.500 leads inbound/mes; 6 SDRs y 20 AEs afectados; 4 verticales priorizadas.</t>
  </si>
  <si>
    <t xml:space="preserve">4.  Costo estimado del dolor</t>
  </si>
  <si>
    <t xml:space="preserve">   Prompt: USD/mes en costo directo + oportunidad perdida</t>
  </si>
  <si>
    <t xml:space="preserve">Ej. 50% del tiempo SDR malgastado = USD 18.000/mes; pipeline perdido por mala calificación ~ USD 60.000/mes.</t>
  </si>
  <si>
    <t xml:space="preserve">5.  KPI primario a mover</t>
  </si>
  <si>
    <t xml:space="preserve">   Prompt: Indicador concreto y dirección</t>
  </si>
  <si>
    <t xml:space="preserve">Ej. Conversión MQL→SQL (de 14% a 22%); CAC; velocidad de pipeline.</t>
  </si>
  <si>
    <t xml:space="preserve">6.  Magnitud esperada del cambio</t>
  </si>
  <si>
    <t xml:space="preserve">   Prompt: De X a Y, en qué horizonte</t>
  </si>
  <si>
    <t xml:space="preserve">Ej. Subir conversión 8 puntos en 9 meses; ahorrar USD 12.000/mes a partir del mes 6.</t>
  </si>
  <si>
    <t xml:space="preserve">7.  Datos disponibles</t>
  </si>
  <si>
    <t xml:space="preserve">   Prompt: Fuentes, volumen, calidad, brechas</t>
  </si>
  <si>
    <t xml:space="preserve">Ej. CRM HubSpot con 18 meses de leads (calidad razonable); Analytics web; intent data 6sense; histórico de outcome.</t>
  </si>
  <si>
    <t xml:space="preserve">8.  Familia de IA hipotética</t>
  </si>
  <si>
    <t xml:space="preserve">   Prompt: Reglas / ML clásico / GenAI / Híbrida (Módulo 4)</t>
  </si>
  <si>
    <t xml:space="preserve">Ej. ML clásico (gradient boosting) sobre features firmográficas + comportamiento web.</t>
  </si>
  <si>
    <t xml:space="preserve">9.  Riesgos visibles</t>
  </si>
  <si>
    <t xml:space="preserve">   Prompt: Regulatorios, técnicos, de adopción</t>
  </si>
  <si>
    <t xml:space="preserve">Ej. Sesgo del modelo a clientes ganados anteriores; explicabilidad para SDRs; calidad del dato CRM; cumplimiento LFPDPPP/GDPR.</t>
  </si>
  <si>
    <t xml:space="preserve">10. Sponsor del caso</t>
  </si>
  <si>
    <t xml:space="preserve">   Prompt: Nombre y rol del patrocinador ejecutivo</t>
  </si>
  <si>
    <t xml:space="preserve">Ej. CMO, Pedro Soto.</t>
  </si>
  <si>
    <t xml:space="preserve">SALIDA — Resumen del caso para Módulo 2 / 3</t>
  </si>
  <si>
    <t xml:space="preserve">Cuando completes los 10 campos, copia el contenido en la plantilla de oportunidad del Módulo 2 (cartera) y del Módulo 3 (priorización por impacto × viabilidad).</t>
  </si>
  <si>
    <t xml:space="preserve">Habilitadores pre-IA · Marketing Stack Maturity</t>
  </si>
  <si>
    <t xml:space="preserve">Antes de pensar en IA, tu marketing necesita ciertas capacidades mínimas. Marca el estado de cada habilitador: Sí · Parcial · No · No aplica.</t>
  </si>
  <si>
    <t xml:space="preserve">Habilitador</t>
  </si>
  <si>
    <t xml:space="preserve">Estado</t>
  </si>
  <si>
    <t xml:space="preserve">Comentario</t>
  </si>
  <si>
    <t xml:space="preserve">A. CRM Y DATOS DE LEADS / CUENTAS</t>
  </si>
  <si>
    <t xml:space="preserve">Tenemos CRM corporativo único con adopción mayor al 80% del equipo comercial y de marketing</t>
  </si>
  <si>
    <t xml:space="preserve">Tenemos histórico de al menos 12 meses de leads, oportunidades y cuentas con outcome trazable</t>
  </si>
  <si>
    <t xml:space="preserve">Existe ICP (Ideal Customer Profile) y modelo de cuenta documentado y operativo</t>
  </si>
  <si>
    <t xml:space="preserve">MQL y SQL están definidos con criterios claros y aplicados consistentemente por marketing y ventas</t>
  </si>
  <si>
    <t xml:space="preserve">B. MARKETING AUTOMATION Y TRACKING</t>
  </si>
  <si>
    <t xml:space="preserve">Tenemos plataforma de marketing automation (HubSpot, Marketo, Pardot, ActiveCampaign u otra equivalente)</t>
  </si>
  <si>
    <t xml:space="preserve">El sitio web tiene tracking adecuado (analytics, formularios, eventos clave) con calidad razonable</t>
  </si>
  <si>
    <t xml:space="preserve">Las campañas usan UTMs y taxonomía consistente para atribución</t>
  </si>
  <si>
    <t xml:space="preserve">Existen workflows de nurturing operativos (automáticos, no solo manuales)</t>
  </si>
  <si>
    <t xml:space="preserve">C. CDP Y DATOS DE COMPORTAMIENTO</t>
  </si>
  <si>
    <t xml:space="preserve">Identificamos visitantes web conocidos (cookies first-party, formularios, intent data)</t>
  </si>
  <si>
    <t xml:space="preserve">Capturamos comportamiento en email (apertura, clicks) y eventos web por contacto</t>
  </si>
  <si>
    <t xml:space="preserve">Datos first-party de marketing están unificados con CRM (no en silos)</t>
  </si>
  <si>
    <t xml:space="preserve">Existen criterios de consentimiento (opt-in, GDPR, LFPDPPP) gestionados por sistema</t>
  </si>
  <si>
    <t xml:space="preserve">D. CONTENIDO Y MARCA</t>
  </si>
  <si>
    <t xml:space="preserve">Existe biblioteca digital de contenido (assets, plantillas) actualizada y accesible</t>
  </si>
  <si>
    <t xml:space="preserve">Hay guidelines de marca, tono de voz y mensajería documentados</t>
  </si>
  <si>
    <t xml:space="preserve">El proceso de creación de contenido está documentado (briefing, revisión, aprobación)</t>
  </si>
  <si>
    <t xml:space="preserve">La taxonomía de contenido (formato, audiencia, etapa del funnel) está estandarizada</t>
  </si>
  <si>
    <t xml:space="preserve">E. PROCESOS, EQUIPO Y GOBIERNO</t>
  </si>
  <si>
    <t xml:space="preserve">Hay un responsable de Demand Gen / Marketing Ops identificado</t>
  </si>
  <si>
    <t xml:space="preserve">Existe alineación operativa Marketing-Ventas (SLAs, handoff de leads, definiciones compartidas)</t>
  </si>
  <si>
    <t xml:space="preserve">El equipo tiene capacidad mínima de prompting / uso de herramientas GenAI</t>
  </si>
  <si>
    <t xml:space="preserve">Existe un foro/ritmo de revisión de KPIs de marketing (reporte semanal/mensual) usado por liderazgo</t>
  </si>
  <si>
    <t xml:space="preserve">RESUMEN Y SCORE DE READINESS</t>
  </si>
  <si>
    <t xml:space="preserve">Habilitadores marcados "Sí":</t>
  </si>
  <si>
    <t xml:space="preserve">Parciales:</t>
  </si>
  <si>
    <t xml:space="preserve">No tenemos:</t>
  </si>
  <si>
    <t xml:space="preserve">No aplican:</t>
  </si>
  <si>
    <t xml:space="preserve">SCORE DE READINESS DE MARKETING: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</si>
</sst>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sz val="10"/>
      <color rgb="FF6B7280"/>
      <name val="Arial"/>
      <family val="0"/>
      <charset val="1"/>
    </font>
    <font>
      <i val="true"/>
      <sz val="11"/>
      <color rgb="FF37415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EF4"/>
        <bgColor rgb="FFFDE7E9"/>
      </patternFill>
    </fill>
    <fill>
      <patternFill patternType="solid">
        <fgColor rgb="FFFDE7E9"/>
        <bgColor rgb="FFE8EEF4"/>
      </patternFill>
    </fill>
    <fill>
      <patternFill patternType="solid">
        <fgColor rgb="FFFFF8DC"/>
        <bgColor rgb="FFFDE7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7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1.75" hidden="false" customHeight="true" outlineLevel="0" collapsed="false">
      <c r="A5" s="4" t="s">
        <v>13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78" hidden="false" customHeight="true" outlineLevel="0" collapsed="false">
      <c r="A6" s="5" t="n">
        <v>1</v>
      </c>
      <c r="B6" s="6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5" t="s">
        <v>19</v>
      </c>
      <c r="H6" s="5" t="n">
        <v>5</v>
      </c>
      <c r="I6" s="6" t="s">
        <v>20</v>
      </c>
    </row>
    <row r="7" customFormat="false" ht="78" hidden="false" customHeight="true" outlineLevel="0" collapsed="false">
      <c r="A7" s="5" t="n">
        <v>2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25</v>
      </c>
      <c r="G7" s="5" t="s">
        <v>19</v>
      </c>
      <c r="H7" s="5" t="n">
        <v>5</v>
      </c>
      <c r="I7" s="6" t="s">
        <v>26</v>
      </c>
    </row>
    <row r="8" customFormat="false" ht="78" hidden="false" customHeight="true" outlineLevel="0" collapsed="false">
      <c r="A8" s="5" t="n">
        <v>3</v>
      </c>
      <c r="B8" s="6" t="s">
        <v>27</v>
      </c>
      <c r="C8" s="6" t="s">
        <v>28</v>
      </c>
      <c r="D8" s="6" t="s">
        <v>29</v>
      </c>
      <c r="E8" s="6" t="s">
        <v>30</v>
      </c>
      <c r="F8" s="6" t="s">
        <v>31</v>
      </c>
      <c r="G8" s="5" t="s">
        <v>32</v>
      </c>
      <c r="H8" s="5" t="n">
        <v>4</v>
      </c>
      <c r="I8" s="6" t="s">
        <v>33</v>
      </c>
    </row>
    <row r="9" customFormat="false" ht="78" hidden="false" customHeight="true" outlineLevel="0" collapsed="false">
      <c r="A9" s="5" t="n">
        <v>4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  <c r="G9" s="5" t="s">
        <v>32</v>
      </c>
      <c r="H9" s="5" t="n">
        <v>4</v>
      </c>
      <c r="I9" s="6" t="s">
        <v>39</v>
      </c>
    </row>
    <row r="10" customFormat="false" ht="78" hidden="false" customHeight="true" outlineLevel="0" collapsed="false">
      <c r="A10" s="5" t="n">
        <v>5</v>
      </c>
      <c r="B10" s="6" t="s">
        <v>40</v>
      </c>
      <c r="C10" s="6" t="s">
        <v>41</v>
      </c>
      <c r="D10" s="6" t="s">
        <v>42</v>
      </c>
      <c r="E10" s="6" t="s">
        <v>43</v>
      </c>
      <c r="F10" s="6" t="s">
        <v>44</v>
      </c>
      <c r="G10" s="5" t="s">
        <v>32</v>
      </c>
      <c r="H10" s="5" t="n">
        <v>4</v>
      </c>
      <c r="I10" s="6" t="s">
        <v>45</v>
      </c>
    </row>
    <row r="11" customFormat="false" ht="78" hidden="false" customHeight="true" outlineLevel="0" collapsed="false">
      <c r="A11" s="5" t="n">
        <v>6</v>
      </c>
      <c r="B11" s="6" t="s">
        <v>46</v>
      </c>
      <c r="C11" s="6" t="s">
        <v>47</v>
      </c>
      <c r="D11" s="6" t="s">
        <v>16</v>
      </c>
      <c r="E11" s="6" t="s">
        <v>48</v>
      </c>
      <c r="F11" s="6" t="s">
        <v>49</v>
      </c>
      <c r="G11" s="5" t="s">
        <v>32</v>
      </c>
      <c r="H11" s="5" t="n">
        <v>3</v>
      </c>
      <c r="I11" s="6" t="s">
        <v>50</v>
      </c>
    </row>
    <row r="12" customFormat="false" ht="21.75" hidden="false" customHeight="true" outlineLevel="0" collapsed="false">
      <c r="A12" s="4" t="s">
        <v>51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customFormat="false" ht="78" hidden="false" customHeight="true" outlineLevel="0" collapsed="false">
      <c r="A13" s="5" t="n">
        <v>7</v>
      </c>
      <c r="B13" s="6" t="s">
        <v>52</v>
      </c>
      <c r="C13" s="6" t="s">
        <v>53</v>
      </c>
      <c r="D13" s="6" t="s">
        <v>54</v>
      </c>
      <c r="E13" s="6" t="s">
        <v>55</v>
      </c>
      <c r="F13" s="6" t="s">
        <v>56</v>
      </c>
      <c r="G13" s="5" t="s">
        <v>19</v>
      </c>
      <c r="H13" s="5" t="n">
        <v>5</v>
      </c>
      <c r="I13" s="6" t="s">
        <v>57</v>
      </c>
    </row>
    <row r="14" customFormat="false" ht="78" hidden="false" customHeight="true" outlineLevel="0" collapsed="false">
      <c r="A14" s="5" t="n">
        <v>8</v>
      </c>
      <c r="B14" s="6" t="s">
        <v>58</v>
      </c>
      <c r="C14" s="6" t="s">
        <v>59</v>
      </c>
      <c r="D14" s="6" t="s">
        <v>60</v>
      </c>
      <c r="E14" s="6" t="s">
        <v>61</v>
      </c>
      <c r="F14" s="6" t="s">
        <v>62</v>
      </c>
      <c r="G14" s="5" t="s">
        <v>32</v>
      </c>
      <c r="H14" s="5" t="n">
        <v>4</v>
      </c>
      <c r="I14" s="6" t="s">
        <v>63</v>
      </c>
    </row>
    <row r="15" customFormat="false" ht="78" hidden="false" customHeight="true" outlineLevel="0" collapsed="false">
      <c r="A15" s="5" t="n">
        <v>9</v>
      </c>
      <c r="B15" s="6" t="s">
        <v>64</v>
      </c>
      <c r="C15" s="6" t="s">
        <v>65</v>
      </c>
      <c r="D15" s="6" t="s">
        <v>54</v>
      </c>
      <c r="E15" s="6" t="s">
        <v>66</v>
      </c>
      <c r="F15" s="6" t="s">
        <v>67</v>
      </c>
      <c r="G15" s="5" t="s">
        <v>19</v>
      </c>
      <c r="H15" s="5" t="n">
        <v>5</v>
      </c>
      <c r="I15" s="6" t="s">
        <v>68</v>
      </c>
    </row>
    <row r="16" customFormat="false" ht="78" hidden="false" customHeight="true" outlineLevel="0" collapsed="false">
      <c r="A16" s="5" t="n">
        <v>10</v>
      </c>
      <c r="B16" s="6" t="s">
        <v>69</v>
      </c>
      <c r="C16" s="6" t="s">
        <v>70</v>
      </c>
      <c r="D16" s="6" t="s">
        <v>71</v>
      </c>
      <c r="E16" s="6" t="s">
        <v>72</v>
      </c>
      <c r="F16" s="6" t="s">
        <v>73</v>
      </c>
      <c r="G16" s="5" t="s">
        <v>32</v>
      </c>
      <c r="H16" s="5" t="n">
        <v>4</v>
      </c>
      <c r="I16" s="6" t="s">
        <v>74</v>
      </c>
    </row>
    <row r="17" customFormat="false" ht="78" hidden="false" customHeight="true" outlineLevel="0" collapsed="false">
      <c r="A17" s="5" t="n">
        <v>11</v>
      </c>
      <c r="B17" s="6" t="s">
        <v>75</v>
      </c>
      <c r="C17" s="6" t="s">
        <v>76</v>
      </c>
      <c r="D17" s="6" t="s">
        <v>60</v>
      </c>
      <c r="E17" s="6" t="s">
        <v>77</v>
      </c>
      <c r="F17" s="6" t="s">
        <v>78</v>
      </c>
      <c r="G17" s="5" t="s">
        <v>32</v>
      </c>
      <c r="H17" s="5" t="n">
        <v>4</v>
      </c>
      <c r="I17" s="6" t="s">
        <v>79</v>
      </c>
    </row>
    <row r="18" customFormat="false" ht="78" hidden="false" customHeight="true" outlineLevel="0" collapsed="false">
      <c r="A18" s="5" t="n">
        <v>12</v>
      </c>
      <c r="B18" s="6" t="s">
        <v>80</v>
      </c>
      <c r="C18" s="6" t="s">
        <v>81</v>
      </c>
      <c r="D18" s="6" t="s">
        <v>82</v>
      </c>
      <c r="E18" s="6" t="s">
        <v>83</v>
      </c>
      <c r="F18" s="6" t="s">
        <v>84</v>
      </c>
      <c r="G18" s="5" t="s">
        <v>19</v>
      </c>
      <c r="H18" s="5" t="n">
        <v>4</v>
      </c>
      <c r="I18" s="6" t="s">
        <v>85</v>
      </c>
    </row>
    <row r="20" customFormat="false" ht="21.75" hidden="false" customHeight="true" outlineLevel="0" collapsed="false">
      <c r="A20" s="4" t="s">
        <v>86</v>
      </c>
      <c r="B20" s="4"/>
      <c r="C20" s="4"/>
      <c r="D20" s="4"/>
    </row>
    <row r="21" customFormat="false" ht="18" hidden="false" customHeight="true" outlineLevel="0" collapsed="false">
      <c r="A21" s="7" t="s">
        <v>87</v>
      </c>
      <c r="B21" s="8" t="n">
        <f aca="false">COUNTIF(J6:J11,"Sí")+COUNTIF(J13:J18,"Sí")</f>
        <v>0</v>
      </c>
    </row>
    <row r="22" customFormat="false" ht="18" hidden="false" customHeight="true" outlineLevel="0" collapsed="false">
      <c r="A22" s="7" t="s">
        <v>88</v>
      </c>
      <c r="B22" s="8" t="n">
        <f aca="false">COUNTIF(J6:J11,"Tal vez")+COUNTIF(J13:J18,"Tal vez")</f>
        <v>0</v>
      </c>
    </row>
    <row r="23" customFormat="false" ht="18" hidden="false" customHeight="true" outlineLevel="0" collapsed="false">
      <c r="A23" s="7" t="s">
        <v>89</v>
      </c>
      <c r="B23" s="8" t="n">
        <f aca="false">COUNTIF(J6:J11,"No")+COUNTIF(J13:J18,"No")</f>
        <v>0</v>
      </c>
    </row>
    <row r="24" customFormat="false" ht="18" hidden="false" customHeight="true" outlineLevel="0" collapsed="false">
      <c r="A24" s="7" t="s">
        <v>90</v>
      </c>
      <c r="B24" s="8" t="n">
        <f aca="false">COUNTIF(J6:J11,"Sí")+COUNTIF(J13:J18,"Sí")+COUNTIF(J6:J11,"Tal vez")+COUNTIF(J13:J18,"Tal vez")</f>
        <v>0</v>
      </c>
    </row>
  </sheetData>
  <mergeCells count="5">
    <mergeCell ref="A1:K1"/>
    <mergeCell ref="A2:K2"/>
    <mergeCell ref="A5:K5"/>
    <mergeCell ref="A12:K12"/>
    <mergeCell ref="A20:D20"/>
  </mergeCells>
  <dataValidations count="1">
    <dataValidation allowBlank="true" errorStyle="stop" operator="between" showDropDown="false" showErrorMessage="false" showInputMessage="false" sqref="J6:J11 J13:J18" type="list">
      <formula1>"Sí,No,Tal vez"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91</v>
      </c>
      <c r="B1" s="1"/>
      <c r="C1" s="1"/>
      <c r="D1" s="1"/>
      <c r="E1" s="1"/>
    </row>
    <row r="2" customFormat="false" ht="30" hidden="false" customHeight="true" outlineLevel="0" collapsed="false">
      <c r="A2" s="2" t="s">
        <v>92</v>
      </c>
      <c r="B2" s="2"/>
      <c r="C2" s="2"/>
      <c r="D2" s="2"/>
      <c r="E2" s="2"/>
    </row>
    <row r="4" customFormat="false" ht="15" hidden="false" customHeight="false" outlineLevel="0" collapsed="false">
      <c r="A4" s="9" t="s">
        <v>93</v>
      </c>
      <c r="B4" s="10" t="s">
        <v>94</v>
      </c>
      <c r="C4" s="10"/>
      <c r="D4" s="10"/>
      <c r="E4" s="10"/>
    </row>
    <row r="6" customFormat="false" ht="24" hidden="false" customHeight="true" outlineLevel="0" collapsed="false">
      <c r="A6" s="3" t="s">
        <v>2</v>
      </c>
      <c r="B6" s="3" t="s">
        <v>95</v>
      </c>
      <c r="C6" s="3" t="s">
        <v>96</v>
      </c>
    </row>
    <row r="8" customFormat="false" ht="21.75" hidden="false" customHeight="true" outlineLevel="0" collapsed="false">
      <c r="A8" s="11" t="s">
        <v>97</v>
      </c>
      <c r="B8" s="11"/>
      <c r="C8" s="11"/>
      <c r="D8" s="11"/>
      <c r="E8" s="11"/>
    </row>
    <row r="9" customFormat="false" ht="30" hidden="false" customHeight="true" outlineLevel="0" collapsed="false">
      <c r="A9" s="12" t="s">
        <v>98</v>
      </c>
      <c r="B9" s="13" t="s">
        <v>99</v>
      </c>
      <c r="C9" s="14"/>
    </row>
    <row r="10" customFormat="false" ht="30" hidden="false" customHeight="true" outlineLevel="0" collapsed="false">
      <c r="A10" s="12" t="s">
        <v>100</v>
      </c>
      <c r="B10" s="13" t="s">
        <v>101</v>
      </c>
      <c r="C10" s="14"/>
    </row>
    <row r="11" customFormat="false" ht="30" hidden="false" customHeight="true" outlineLevel="0" collapsed="false">
      <c r="A11" s="12" t="s">
        <v>102</v>
      </c>
      <c r="B11" s="13" t="s">
        <v>103</v>
      </c>
      <c r="C11" s="14"/>
    </row>
    <row r="12" customFormat="false" ht="30" hidden="false" customHeight="true" outlineLevel="0" collapsed="false">
      <c r="A12" s="12" t="s">
        <v>104</v>
      </c>
      <c r="B12" s="13" t="s">
        <v>105</v>
      </c>
      <c r="C12" s="14"/>
    </row>
    <row r="14" customFormat="false" ht="21.75" hidden="false" customHeight="true" outlineLevel="0" collapsed="false">
      <c r="A14" s="4" t="s">
        <v>106</v>
      </c>
      <c r="B14" s="4"/>
      <c r="C14" s="4"/>
      <c r="D14" s="4"/>
      <c r="E14" s="4"/>
    </row>
    <row r="15" customFormat="false" ht="30" hidden="false" customHeight="true" outlineLevel="0" collapsed="false">
      <c r="A15" s="12" t="s">
        <v>107</v>
      </c>
      <c r="B15" s="13" t="s">
        <v>108</v>
      </c>
      <c r="C15" s="14"/>
    </row>
    <row r="16" customFormat="false" ht="30" hidden="false" customHeight="true" outlineLevel="0" collapsed="false">
      <c r="A16" s="12" t="s">
        <v>109</v>
      </c>
      <c r="B16" s="13" t="s">
        <v>110</v>
      </c>
      <c r="C16" s="14"/>
    </row>
    <row r="17" customFormat="false" ht="30" hidden="false" customHeight="true" outlineLevel="0" collapsed="false">
      <c r="A17" s="12" t="s">
        <v>111</v>
      </c>
      <c r="B17" s="13" t="s">
        <v>112</v>
      </c>
      <c r="C17" s="14"/>
    </row>
    <row r="18" customFormat="false" ht="30" hidden="false" customHeight="true" outlineLevel="0" collapsed="false">
      <c r="A18" s="12" t="s">
        <v>113</v>
      </c>
      <c r="B18" s="13" t="s">
        <v>114</v>
      </c>
      <c r="C18" s="14"/>
    </row>
    <row r="20" customFormat="false" ht="21.75" hidden="false" customHeight="true" outlineLevel="0" collapsed="false">
      <c r="A20" s="4" t="s">
        <v>115</v>
      </c>
      <c r="B20" s="4"/>
      <c r="C20" s="4"/>
      <c r="D20" s="4"/>
      <c r="E20" s="4"/>
    </row>
    <row r="21" customFormat="false" ht="30" hidden="false" customHeight="true" outlineLevel="0" collapsed="false">
      <c r="A21" s="12" t="s">
        <v>116</v>
      </c>
      <c r="B21" s="13" t="s">
        <v>117</v>
      </c>
      <c r="C21" s="14"/>
    </row>
    <row r="22" customFormat="false" ht="30" hidden="false" customHeight="true" outlineLevel="0" collapsed="false">
      <c r="A22" s="12" t="s">
        <v>118</v>
      </c>
      <c r="B22" s="13" t="s">
        <v>119</v>
      </c>
      <c r="C22" s="14"/>
    </row>
    <row r="23" customFormat="false" ht="30" hidden="false" customHeight="true" outlineLevel="0" collapsed="false">
      <c r="A23" s="12" t="s">
        <v>120</v>
      </c>
      <c r="B23" s="13" t="s">
        <v>121</v>
      </c>
      <c r="C23" s="14"/>
    </row>
    <row r="24" customFormat="false" ht="30" hidden="false" customHeight="true" outlineLevel="0" collapsed="false">
      <c r="A24" s="12" t="s">
        <v>122</v>
      </c>
      <c r="B24" s="13" t="s">
        <v>123</v>
      </c>
      <c r="C24" s="14"/>
    </row>
    <row r="26" customFormat="false" ht="21.75" hidden="false" customHeight="true" outlineLevel="0" collapsed="false">
      <c r="A26" s="4" t="s">
        <v>124</v>
      </c>
      <c r="B26" s="4"/>
      <c r="C26" s="4"/>
      <c r="D26" s="4"/>
      <c r="E26" s="4"/>
    </row>
    <row r="27" customFormat="false" ht="30" hidden="false" customHeight="true" outlineLevel="0" collapsed="false">
      <c r="A27" s="12" t="s">
        <v>125</v>
      </c>
      <c r="B27" s="13" t="s">
        <v>126</v>
      </c>
      <c r="C27" s="14"/>
    </row>
    <row r="28" customFormat="false" ht="30" hidden="false" customHeight="true" outlineLevel="0" collapsed="false">
      <c r="A28" s="12" t="s">
        <v>127</v>
      </c>
      <c r="B28" s="13" t="s">
        <v>128</v>
      </c>
      <c r="C28" s="14"/>
    </row>
    <row r="29" customFormat="false" ht="30" hidden="false" customHeight="true" outlineLevel="0" collapsed="false">
      <c r="A29" s="12" t="s">
        <v>129</v>
      </c>
      <c r="B29" s="13" t="s">
        <v>130</v>
      </c>
      <c r="C29" s="14"/>
    </row>
    <row r="30" customFormat="false" ht="30" hidden="false" customHeight="true" outlineLevel="0" collapsed="false">
      <c r="A30" s="12" t="s">
        <v>131</v>
      </c>
      <c r="B30" s="13" t="s">
        <v>132</v>
      </c>
      <c r="C30" s="14"/>
    </row>
    <row r="32" customFormat="false" ht="24" hidden="false" customHeight="true" outlineLevel="0" collapsed="false">
      <c r="A32" s="15" t="s">
        <v>133</v>
      </c>
      <c r="B32" s="15"/>
      <c r="C32" s="15"/>
      <c r="D32" s="15"/>
      <c r="E32" s="15"/>
    </row>
    <row r="33" customFormat="false" ht="15" hidden="false" customHeight="false" outlineLevel="0" collapsed="false">
      <c r="A33" s="16" t="s">
        <v>134</v>
      </c>
      <c r="B33" s="16"/>
      <c r="C33" s="12" t="n">
        <f aca="false">IFERROR(AVERAGE(C9:C12),0)</f>
        <v>0</v>
      </c>
      <c r="D33" s="17" t="str">
        <f aca="false">IF(C33=0,"Sin datos",IF(C33&gt;=3.5,"Pain ALTO",IF(C33&gt;=2.5,"Pain MEDIO","Pain BAJO")))</f>
        <v>Sin datos</v>
      </c>
      <c r="E33" s="17"/>
    </row>
    <row r="34" customFormat="false" ht="15" hidden="false" customHeight="false" outlineLevel="0" collapsed="false">
      <c r="A34" s="16" t="s">
        <v>135</v>
      </c>
      <c r="B34" s="16"/>
      <c r="C34" s="12" t="n">
        <f aca="false">IFERROR(AVERAGE(C15:C18,C21:C24,C27:C30),0)</f>
        <v>0</v>
      </c>
      <c r="D34" s="17" t="str">
        <f aca="false">IF(C34=0,"Sin datos",IF(C34&gt;=3.5,"Readiness ALTA",IF(C34&gt;=2.5,"Readiness MEDIA","Readiness BAJA")))</f>
        <v>Sin datos</v>
      </c>
      <c r="E34" s="17"/>
    </row>
    <row r="36" customFormat="false" ht="24" hidden="false" customHeight="true" outlineLevel="0" collapsed="false">
      <c r="A36" s="18" t="s">
        <v>136</v>
      </c>
      <c r="B36" s="19" t="str">
        <f aca="false">IF(OR(C33=0,C34=0),"Completa primero el cuestionario",IF(AND(C33&gt;=3.5,C34&gt;=3.5),"QUICK WIN PRIORITARIO — Avanzar ahora",IF(AND(C33&gt;=3.5,C34&lt;3.5),"INVERTIR EN HABILITADORES — Pain alto pero falta readiness",IF(AND(C33&lt;3.5,C34&gt;=3.5),"OPORTUNIDAD SIN URGENCIA — Capacidad sí, pain no","AÚN NO ES MOMENTO — Construir capacidad antes"))))</f>
        <v>Completa primero el cuestionario</v>
      </c>
      <c r="C36" s="19"/>
      <c r="D36" s="19"/>
      <c r="E36" s="19"/>
    </row>
    <row r="39" customFormat="false" ht="15" hidden="false" customHeight="false" outlineLevel="0" collapsed="false">
      <c r="A39" s="20" t="s">
        <v>137</v>
      </c>
    </row>
    <row r="40" customFormat="false" ht="15" hidden="false" customHeight="false" outlineLevel="0" collapsed="false">
      <c r="A40" s="20" t="s">
        <v>138</v>
      </c>
      <c r="B40" s="21" t="n">
        <f aca="false">IFERROR(AVERAGE(C9:C12),0)</f>
        <v>0</v>
      </c>
    </row>
    <row r="41" customFormat="false" ht="15" hidden="false" customHeight="false" outlineLevel="0" collapsed="false">
      <c r="A41" s="20" t="s">
        <v>139</v>
      </c>
      <c r="B41" s="21" t="n">
        <f aca="false">IFERROR(AVERAGE(C15:C18),0)</f>
        <v>0</v>
      </c>
    </row>
    <row r="42" customFormat="false" ht="15" hidden="false" customHeight="false" outlineLevel="0" collapsed="false">
      <c r="A42" s="20" t="s">
        <v>140</v>
      </c>
      <c r="B42" s="21" t="n">
        <f aca="false">IFERROR(AVERAGE(C21:C24),0)</f>
        <v>0</v>
      </c>
    </row>
    <row r="43" customFormat="false" ht="15" hidden="false" customHeight="false" outlineLevel="0" collapsed="false">
      <c r="A43" s="20" t="s">
        <v>141</v>
      </c>
      <c r="B43" s="21" t="n">
        <f aca="false">IFERROR(AVERAGE(C27:C30),0)</f>
        <v>0</v>
      </c>
    </row>
    <row r="46" customFormat="false" ht="21.75" hidden="false" customHeight="true" outlineLevel="0" collapsed="false">
      <c r="A46" s="15" t="s">
        <v>142</v>
      </c>
      <c r="B46" s="15"/>
      <c r="C46" s="15"/>
      <c r="D46" s="15"/>
      <c r="E46" s="15"/>
    </row>
    <row r="47" customFormat="false" ht="26.85" hidden="false" customHeight="false" outlineLevel="0" collapsed="false">
      <c r="A47" s="20"/>
      <c r="B47" s="12" t="s">
        <v>143</v>
      </c>
      <c r="C47" s="12" t="s">
        <v>144</v>
      </c>
    </row>
    <row r="48" customFormat="false" ht="52.2" hidden="false" customHeight="false" outlineLevel="0" collapsed="false">
      <c r="A48" s="3" t="s">
        <v>145</v>
      </c>
      <c r="B48" s="22" t="s">
        <v>146</v>
      </c>
      <c r="C48" s="3" t="s">
        <v>147</v>
      </c>
    </row>
    <row r="49" customFormat="false" ht="52.2" hidden="false" customHeight="false" outlineLevel="0" collapsed="false">
      <c r="A49" s="3" t="s">
        <v>148</v>
      </c>
      <c r="B49" s="22" t="s">
        <v>149</v>
      </c>
      <c r="C49" s="22" t="s">
        <v>150</v>
      </c>
    </row>
  </sheetData>
  <mergeCells count="14">
    <mergeCell ref="A1:E1"/>
    <mergeCell ref="A2:E2"/>
    <mergeCell ref="B4:E4"/>
    <mergeCell ref="A8:E8"/>
    <mergeCell ref="A14:E14"/>
    <mergeCell ref="A20:E20"/>
    <mergeCell ref="A26:E26"/>
    <mergeCell ref="A32:E32"/>
    <mergeCell ref="A33:B33"/>
    <mergeCell ref="D33:E33"/>
    <mergeCell ref="A34:B34"/>
    <mergeCell ref="D34:E34"/>
    <mergeCell ref="B36:E36"/>
    <mergeCell ref="A46:E46"/>
  </mergeCells>
  <dataValidations count="1">
    <dataValidation allowBlank="true" errorStyle="stop" operator="between" showDropDown="false" showErrorMessage="false" showInputMessage="false" sqref="C9:C12 C15:C18 C21:C24 C27:C3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8"/>
  </cols>
  <sheetData>
    <row r="1" customFormat="false" ht="27.75" hidden="false" customHeight="true" outlineLevel="0" collapsed="false">
      <c r="A1" s="1" t="s">
        <v>151</v>
      </c>
      <c r="B1" s="1"/>
      <c r="C1" s="1"/>
      <c r="D1" s="1"/>
    </row>
    <row r="2" customFormat="false" ht="30" hidden="false" customHeight="true" outlineLevel="0" collapsed="false">
      <c r="A2" s="2" t="s">
        <v>152</v>
      </c>
      <c r="B2" s="2"/>
      <c r="C2" s="2"/>
      <c r="D2" s="2"/>
    </row>
    <row r="4" customFormat="false" ht="21.75" hidden="false" customHeight="true" outlineLevel="0" collapsed="false">
      <c r="A4" s="4" t="s">
        <v>153</v>
      </c>
      <c r="B4" s="4"/>
      <c r="C4" s="4"/>
      <c r="D4" s="4"/>
    </row>
    <row r="5" customFormat="false" ht="15" hidden="false" customHeight="true" outlineLevel="0" collapsed="false">
      <c r="A5" s="23" t="s">
        <v>154</v>
      </c>
      <c r="B5" s="23"/>
      <c r="C5" s="23"/>
      <c r="D5" s="23"/>
    </row>
    <row r="6" customFormat="false" ht="36" hidden="false" customHeight="true" outlineLevel="0" collapsed="false">
      <c r="A6" s="24" t="s">
        <v>155</v>
      </c>
      <c r="B6" s="24"/>
      <c r="C6" s="24"/>
      <c r="D6" s="24"/>
    </row>
    <row r="7" customFormat="false" ht="21.75" hidden="false" customHeight="true" outlineLevel="0" collapsed="false">
      <c r="A7" s="4" t="s">
        <v>156</v>
      </c>
      <c r="B7" s="4"/>
      <c r="C7" s="4"/>
      <c r="D7" s="4"/>
    </row>
    <row r="8" customFormat="false" ht="15" hidden="false" customHeight="true" outlineLevel="0" collapsed="false">
      <c r="A8" s="23" t="s">
        <v>157</v>
      </c>
      <c r="B8" s="23"/>
      <c r="C8" s="23"/>
      <c r="D8" s="23"/>
    </row>
    <row r="9" customFormat="false" ht="36" hidden="false" customHeight="true" outlineLevel="0" collapsed="false">
      <c r="A9" s="24" t="s">
        <v>158</v>
      </c>
      <c r="B9" s="24"/>
      <c r="C9" s="24"/>
      <c r="D9" s="24"/>
    </row>
    <row r="10" customFormat="false" ht="21.75" hidden="false" customHeight="true" outlineLevel="0" collapsed="false">
      <c r="A10" s="4" t="s">
        <v>159</v>
      </c>
      <c r="B10" s="4"/>
      <c r="C10" s="4"/>
      <c r="D10" s="4"/>
    </row>
    <row r="11" customFormat="false" ht="15" hidden="false" customHeight="true" outlineLevel="0" collapsed="false">
      <c r="A11" s="23" t="s">
        <v>160</v>
      </c>
      <c r="B11" s="23"/>
      <c r="C11" s="23"/>
      <c r="D11" s="23"/>
    </row>
    <row r="12" customFormat="false" ht="36" hidden="false" customHeight="true" outlineLevel="0" collapsed="false">
      <c r="A12" s="24" t="s">
        <v>161</v>
      </c>
      <c r="B12" s="24"/>
      <c r="C12" s="24"/>
      <c r="D12" s="24"/>
    </row>
    <row r="13" customFormat="false" ht="21.75" hidden="false" customHeight="true" outlineLevel="0" collapsed="false">
      <c r="A13" s="4" t="s">
        <v>162</v>
      </c>
      <c r="B13" s="4"/>
      <c r="C13" s="4"/>
      <c r="D13" s="4"/>
    </row>
    <row r="14" customFormat="false" ht="15" hidden="false" customHeight="true" outlineLevel="0" collapsed="false">
      <c r="A14" s="23" t="s">
        <v>163</v>
      </c>
      <c r="B14" s="23"/>
      <c r="C14" s="23"/>
      <c r="D14" s="23"/>
    </row>
    <row r="15" customFormat="false" ht="36" hidden="false" customHeight="true" outlineLevel="0" collapsed="false">
      <c r="A15" s="24" t="s">
        <v>164</v>
      </c>
      <c r="B15" s="24"/>
      <c r="C15" s="24"/>
      <c r="D15" s="24"/>
    </row>
    <row r="16" customFormat="false" ht="21.75" hidden="false" customHeight="true" outlineLevel="0" collapsed="false">
      <c r="A16" s="4" t="s">
        <v>165</v>
      </c>
      <c r="B16" s="4"/>
      <c r="C16" s="4"/>
      <c r="D16" s="4"/>
    </row>
    <row r="17" customFormat="false" ht="15" hidden="false" customHeight="true" outlineLevel="0" collapsed="false">
      <c r="A17" s="23" t="s">
        <v>166</v>
      </c>
      <c r="B17" s="23"/>
      <c r="C17" s="23"/>
      <c r="D17" s="23"/>
    </row>
    <row r="18" customFormat="false" ht="36" hidden="false" customHeight="true" outlineLevel="0" collapsed="false">
      <c r="A18" s="24" t="s">
        <v>167</v>
      </c>
      <c r="B18" s="24"/>
      <c r="C18" s="24"/>
      <c r="D18" s="24"/>
    </row>
    <row r="19" customFormat="false" ht="21.75" hidden="false" customHeight="true" outlineLevel="0" collapsed="false">
      <c r="A19" s="4" t="s">
        <v>168</v>
      </c>
      <c r="B19" s="4"/>
      <c r="C19" s="4"/>
      <c r="D19" s="4"/>
    </row>
    <row r="20" customFormat="false" ht="15" hidden="false" customHeight="true" outlineLevel="0" collapsed="false">
      <c r="A20" s="23" t="s">
        <v>169</v>
      </c>
      <c r="B20" s="23"/>
      <c r="C20" s="23"/>
      <c r="D20" s="23"/>
    </row>
    <row r="21" customFormat="false" ht="36" hidden="false" customHeight="true" outlineLevel="0" collapsed="false">
      <c r="A21" s="24" t="s">
        <v>170</v>
      </c>
      <c r="B21" s="24"/>
      <c r="C21" s="24"/>
      <c r="D21" s="24"/>
    </row>
    <row r="22" customFormat="false" ht="21.75" hidden="false" customHeight="true" outlineLevel="0" collapsed="false">
      <c r="A22" s="4" t="s">
        <v>171</v>
      </c>
      <c r="B22" s="4"/>
      <c r="C22" s="4"/>
      <c r="D22" s="4"/>
    </row>
    <row r="23" customFormat="false" ht="15" hidden="false" customHeight="true" outlineLevel="0" collapsed="false">
      <c r="A23" s="23" t="s">
        <v>172</v>
      </c>
      <c r="B23" s="23"/>
      <c r="C23" s="23"/>
      <c r="D23" s="23"/>
    </row>
    <row r="24" customFormat="false" ht="36" hidden="false" customHeight="true" outlineLevel="0" collapsed="false">
      <c r="A24" s="24" t="s">
        <v>173</v>
      </c>
      <c r="B24" s="24"/>
      <c r="C24" s="24"/>
      <c r="D24" s="24"/>
    </row>
    <row r="25" customFormat="false" ht="21.75" hidden="false" customHeight="true" outlineLevel="0" collapsed="false">
      <c r="A25" s="4" t="s">
        <v>174</v>
      </c>
      <c r="B25" s="4"/>
      <c r="C25" s="4"/>
      <c r="D25" s="4"/>
    </row>
    <row r="26" customFormat="false" ht="15" hidden="false" customHeight="true" outlineLevel="0" collapsed="false">
      <c r="A26" s="23" t="s">
        <v>175</v>
      </c>
      <c r="B26" s="23"/>
      <c r="C26" s="23"/>
      <c r="D26" s="23"/>
    </row>
    <row r="27" customFormat="false" ht="36" hidden="false" customHeight="true" outlineLevel="0" collapsed="false">
      <c r="A27" s="24" t="s">
        <v>176</v>
      </c>
      <c r="B27" s="24"/>
      <c r="C27" s="24"/>
      <c r="D27" s="24"/>
    </row>
    <row r="28" customFormat="false" ht="21.75" hidden="false" customHeight="true" outlineLevel="0" collapsed="false">
      <c r="A28" s="4" t="s">
        <v>177</v>
      </c>
      <c r="B28" s="4"/>
      <c r="C28" s="4"/>
      <c r="D28" s="4"/>
    </row>
    <row r="29" customFormat="false" ht="15" hidden="false" customHeight="true" outlineLevel="0" collapsed="false">
      <c r="A29" s="23" t="s">
        <v>178</v>
      </c>
      <c r="B29" s="23"/>
      <c r="C29" s="23"/>
      <c r="D29" s="23"/>
    </row>
    <row r="30" customFormat="false" ht="36" hidden="false" customHeight="true" outlineLevel="0" collapsed="false">
      <c r="A30" s="24" t="s">
        <v>179</v>
      </c>
      <c r="B30" s="24"/>
      <c r="C30" s="24"/>
      <c r="D30" s="24"/>
    </row>
    <row r="31" customFormat="false" ht="21.75" hidden="false" customHeight="true" outlineLevel="0" collapsed="false">
      <c r="A31" s="4" t="s">
        <v>180</v>
      </c>
      <c r="B31" s="4"/>
      <c r="C31" s="4"/>
      <c r="D31" s="4"/>
    </row>
    <row r="32" customFormat="false" ht="15" hidden="false" customHeight="true" outlineLevel="0" collapsed="false">
      <c r="A32" s="23" t="s">
        <v>181</v>
      </c>
      <c r="B32" s="23"/>
      <c r="C32" s="23"/>
      <c r="D32" s="23"/>
    </row>
    <row r="33" customFormat="false" ht="36" hidden="false" customHeight="true" outlineLevel="0" collapsed="false">
      <c r="A33" s="24" t="s">
        <v>182</v>
      </c>
      <c r="B33" s="24"/>
      <c r="C33" s="24"/>
      <c r="D33" s="24"/>
    </row>
    <row r="35" customFormat="false" ht="21.75" hidden="false" customHeight="true" outlineLevel="0" collapsed="false">
      <c r="A35" s="15" t="s">
        <v>183</v>
      </c>
      <c r="B35" s="15"/>
      <c r="C35" s="15"/>
      <c r="D35" s="15"/>
    </row>
    <row r="36" customFormat="false" ht="36" hidden="false" customHeight="true" outlineLevel="0" collapsed="false">
      <c r="A36" s="25" t="s">
        <v>184</v>
      </c>
      <c r="B36" s="25"/>
      <c r="C36" s="25"/>
      <c r="D36" s="25"/>
    </row>
  </sheetData>
  <mergeCells count="34">
    <mergeCell ref="A1:D1"/>
    <mergeCell ref="A2:D2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5:D35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4"/>
  </cols>
  <sheetData>
    <row r="1" customFormat="false" ht="27.75" hidden="false" customHeight="true" outlineLevel="0" collapsed="false">
      <c r="A1" s="1" t="s">
        <v>185</v>
      </c>
      <c r="B1" s="1"/>
      <c r="C1" s="1"/>
      <c r="D1" s="1"/>
    </row>
    <row r="2" customFormat="false" ht="30" hidden="false" customHeight="true" outlineLevel="0" collapsed="false">
      <c r="A2" s="2" t="s">
        <v>186</v>
      </c>
      <c r="B2" s="2"/>
      <c r="C2" s="2"/>
      <c r="D2" s="2"/>
    </row>
    <row r="4" customFormat="false" ht="24" hidden="false" customHeight="true" outlineLevel="0" collapsed="false">
      <c r="A4" s="3" t="s">
        <v>187</v>
      </c>
      <c r="B4" s="3" t="s">
        <v>188</v>
      </c>
      <c r="C4" s="3" t="s">
        <v>189</v>
      </c>
    </row>
    <row r="5" customFormat="false" ht="21.75" hidden="false" customHeight="true" outlineLevel="0" collapsed="false">
      <c r="A5" s="4" t="s">
        <v>190</v>
      </c>
      <c r="B5" s="4"/>
      <c r="C5" s="4"/>
      <c r="D5" s="26"/>
    </row>
    <row r="6" customFormat="false" ht="25.5" hidden="false" customHeight="true" outlineLevel="0" collapsed="false">
      <c r="A6" s="27" t="s">
        <v>191</v>
      </c>
      <c r="B6" s="14"/>
      <c r="C6" s="27"/>
    </row>
    <row r="7" customFormat="false" ht="25.5" hidden="false" customHeight="true" outlineLevel="0" collapsed="false">
      <c r="A7" s="27" t="s">
        <v>192</v>
      </c>
      <c r="B7" s="14"/>
      <c r="C7" s="27"/>
    </row>
    <row r="8" customFormat="false" ht="25.5" hidden="false" customHeight="true" outlineLevel="0" collapsed="false">
      <c r="A8" s="27" t="s">
        <v>193</v>
      </c>
      <c r="B8" s="14"/>
      <c r="C8" s="27"/>
    </row>
    <row r="9" customFormat="false" ht="25.5" hidden="false" customHeight="true" outlineLevel="0" collapsed="false">
      <c r="A9" s="27" t="s">
        <v>194</v>
      </c>
      <c r="B9" s="14"/>
      <c r="C9" s="27"/>
    </row>
    <row r="10" customFormat="false" ht="21.75" hidden="false" customHeight="true" outlineLevel="0" collapsed="false">
      <c r="A10" s="4" t="s">
        <v>195</v>
      </c>
      <c r="B10" s="4"/>
      <c r="C10" s="4"/>
      <c r="D10" s="26"/>
    </row>
    <row r="11" customFormat="false" ht="25.5" hidden="false" customHeight="true" outlineLevel="0" collapsed="false">
      <c r="A11" s="27" t="s">
        <v>196</v>
      </c>
      <c r="B11" s="14"/>
      <c r="C11" s="27"/>
    </row>
    <row r="12" customFormat="false" ht="25.5" hidden="false" customHeight="true" outlineLevel="0" collapsed="false">
      <c r="A12" s="27" t="s">
        <v>197</v>
      </c>
      <c r="B12" s="14"/>
      <c r="C12" s="27"/>
    </row>
    <row r="13" customFormat="false" ht="25.5" hidden="false" customHeight="true" outlineLevel="0" collapsed="false">
      <c r="A13" s="27" t="s">
        <v>198</v>
      </c>
      <c r="B13" s="14"/>
      <c r="C13" s="27"/>
    </row>
    <row r="14" customFormat="false" ht="25.5" hidden="false" customHeight="true" outlineLevel="0" collapsed="false">
      <c r="A14" s="27" t="s">
        <v>199</v>
      </c>
      <c r="B14" s="14"/>
      <c r="C14" s="27"/>
    </row>
    <row r="15" customFormat="false" ht="21.75" hidden="false" customHeight="true" outlineLevel="0" collapsed="false">
      <c r="A15" s="4" t="s">
        <v>200</v>
      </c>
      <c r="B15" s="4"/>
      <c r="C15" s="4"/>
      <c r="D15" s="26"/>
    </row>
    <row r="16" customFormat="false" ht="25.5" hidden="false" customHeight="true" outlineLevel="0" collapsed="false">
      <c r="A16" s="27" t="s">
        <v>201</v>
      </c>
      <c r="B16" s="14"/>
      <c r="C16" s="27"/>
    </row>
    <row r="17" customFormat="false" ht="25.5" hidden="false" customHeight="true" outlineLevel="0" collapsed="false">
      <c r="A17" s="27" t="s">
        <v>202</v>
      </c>
      <c r="B17" s="14"/>
      <c r="C17" s="27"/>
    </row>
    <row r="18" customFormat="false" ht="25.5" hidden="false" customHeight="true" outlineLevel="0" collapsed="false">
      <c r="A18" s="27" t="s">
        <v>203</v>
      </c>
      <c r="B18" s="14"/>
      <c r="C18" s="27"/>
    </row>
    <row r="19" customFormat="false" ht="25.5" hidden="false" customHeight="true" outlineLevel="0" collapsed="false">
      <c r="A19" s="27" t="s">
        <v>204</v>
      </c>
      <c r="B19" s="14"/>
      <c r="C19" s="27"/>
    </row>
    <row r="20" customFormat="false" ht="21.75" hidden="false" customHeight="true" outlineLevel="0" collapsed="false">
      <c r="A20" s="4" t="s">
        <v>205</v>
      </c>
      <c r="B20" s="4"/>
      <c r="C20" s="4"/>
      <c r="D20" s="26"/>
    </row>
    <row r="21" customFormat="false" ht="25.5" hidden="false" customHeight="true" outlineLevel="0" collapsed="false">
      <c r="A21" s="27" t="s">
        <v>206</v>
      </c>
      <c r="B21" s="14"/>
      <c r="C21" s="27"/>
    </row>
    <row r="22" customFormat="false" ht="25.5" hidden="false" customHeight="true" outlineLevel="0" collapsed="false">
      <c r="A22" s="27" t="s">
        <v>207</v>
      </c>
      <c r="B22" s="14"/>
      <c r="C22" s="27"/>
    </row>
    <row r="23" customFormat="false" ht="25.5" hidden="false" customHeight="true" outlineLevel="0" collapsed="false">
      <c r="A23" s="27" t="s">
        <v>208</v>
      </c>
      <c r="B23" s="14"/>
      <c r="C23" s="27"/>
    </row>
    <row r="24" customFormat="false" ht="25.5" hidden="false" customHeight="true" outlineLevel="0" collapsed="false">
      <c r="A24" s="27" t="s">
        <v>209</v>
      </c>
      <c r="B24" s="14"/>
      <c r="C24" s="27"/>
    </row>
    <row r="25" customFormat="false" ht="21.75" hidden="false" customHeight="true" outlineLevel="0" collapsed="false">
      <c r="A25" s="4" t="s">
        <v>210</v>
      </c>
      <c r="B25" s="4"/>
      <c r="C25" s="4"/>
      <c r="D25" s="26"/>
    </row>
    <row r="26" customFormat="false" ht="25.5" hidden="false" customHeight="true" outlineLevel="0" collapsed="false">
      <c r="A26" s="27" t="s">
        <v>211</v>
      </c>
      <c r="B26" s="14"/>
      <c r="C26" s="27"/>
    </row>
    <row r="27" customFormat="false" ht="25.5" hidden="false" customHeight="true" outlineLevel="0" collapsed="false">
      <c r="A27" s="27" t="s">
        <v>212</v>
      </c>
      <c r="B27" s="14"/>
      <c r="C27" s="27"/>
    </row>
    <row r="28" customFormat="false" ht="25.5" hidden="false" customHeight="true" outlineLevel="0" collapsed="false">
      <c r="A28" s="27" t="s">
        <v>213</v>
      </c>
      <c r="B28" s="14"/>
      <c r="C28" s="27"/>
    </row>
    <row r="29" customFormat="false" ht="25.5" hidden="false" customHeight="true" outlineLevel="0" collapsed="false">
      <c r="A29" s="27" t="s">
        <v>214</v>
      </c>
      <c r="B29" s="14"/>
      <c r="C29" s="27"/>
    </row>
    <row r="31" customFormat="false" ht="24" hidden="false" customHeight="true" outlineLevel="0" collapsed="false">
      <c r="A31" s="15" t="s">
        <v>215</v>
      </c>
      <c r="B31" s="15"/>
      <c r="C31" s="15"/>
      <c r="D31" s="26"/>
    </row>
    <row r="32" customFormat="false" ht="15" hidden="false" customHeight="false" outlineLevel="0" collapsed="false">
      <c r="A32" s="9" t="s">
        <v>216</v>
      </c>
      <c r="B32" s="12" t="n">
        <f aca="false">COUNTIF(B6:B9,"Sí")+COUNTIF(B11:B14,"Sí")+COUNTIF(B16:B19,"Sí")+COUNTIF(B21:B24,"Sí")+COUNTIF(B26:B29,"Sí")</f>
        <v>0</v>
      </c>
    </row>
    <row r="33" customFormat="false" ht="15" hidden="false" customHeight="false" outlineLevel="0" collapsed="false">
      <c r="A33" s="9" t="s">
        <v>217</v>
      </c>
      <c r="B33" s="12" t="n">
        <f aca="false">COUNTIF(B6:B9,"Parcial")+COUNTIF(B11:B14,"Parcial")+COUNTIF(B16:B19,"Parcial")+COUNTIF(B21:B24,"Parcial")+COUNTIF(B26:B29,"Parcial")</f>
        <v>0</v>
      </c>
    </row>
    <row r="34" customFormat="false" ht="15" hidden="false" customHeight="false" outlineLevel="0" collapsed="false">
      <c r="A34" s="9" t="s">
        <v>218</v>
      </c>
      <c r="B34" s="12" t="n">
        <f aca="false">COUNTIF(B6:B9,"No")+COUNTIF(B11:B14,"No")+COUNTIF(B16:B19,"No")+COUNTIF(B21:B24,"No")+COUNTIF(B26:B29,"No")</f>
        <v>0</v>
      </c>
    </row>
    <row r="35" customFormat="false" ht="15" hidden="false" customHeight="false" outlineLevel="0" collapsed="false">
      <c r="A35" s="9" t="s">
        <v>219</v>
      </c>
      <c r="B35" s="12" t="n">
        <f aca="false">COUNTIF(B6:B9,"No aplica")+COUNTIF(B11:B14,"No aplica")+COUNTIF(B16:B19,"No aplica")+COUNTIF(B21:B24,"No aplica")+COUNTIF(B26:B29,"No aplica")</f>
        <v>0</v>
      </c>
    </row>
    <row r="37" customFormat="false" ht="16.15" hidden="false" customHeight="false" outlineLevel="0" collapsed="false">
      <c r="A37" s="18" t="s">
        <v>220</v>
      </c>
      <c r="B37" s="28" t="n">
        <f aca="false">IFERROR(((COUNTIF(B6:B9,"Sí")+COUNTIF(B11:B14,"Sí")+COUNTIF(B16:B19,"Sí")+COUNTIF(B21:B24,"Sí")+COUNTIF(B26:B29,"Sí"))+(COUNTIF(B6:B9,"Parcial")+COUNTIF(B11:B14,"Parcial")+COUNTIF(B16:B19,"Parcial")+COUNTIF(B21:B24,"Parcial")+COUNTIF(B26:B29,"Parcial"))*0.5)/((COUNTIF(B6:B9,"Sí")+COUNTIF(B11:B14,"Sí")+COUNTIF(B16:B19,"Sí")+COUNTIF(B21:B24,"Sí")+COUNTIF(B26:B29,"Sí"))+(COUNTIF(B6:B9,"Parcial")+COUNTIF(B11:B14,"Parcial")+COUNTIF(B16:B19,"Parcial")+COUNTIF(B21:B24,"Parcial")+COUNTIF(B26:B29,"Parcial"))+(COUNTIF(B6:B9,"No")+COUNTIF(B11:B14,"No")+COUNTIF(B16:B19,"No")+COUNTIF(B21:B24,"No")+COUNTIF(B26:B29,"No"))),0)</f>
        <v>0</v>
      </c>
    </row>
    <row r="39" customFormat="false" ht="36" hidden="false" customHeight="true" outlineLevel="0" collapsed="false">
      <c r="A39" s="18" t="s">
        <v>136</v>
      </c>
      <c r="B39" s="19" t="str">
        <f aca="false">IF(((COUNTIF(B6:B9,"Sí")+COUNTIF(B11:B14,"Sí")+COUNTIF(B16:B19,"Sí")+COUNTIF(B21:B24,"Sí")+COUNTIF(B26:B29,"Sí"))+(COUNTIF(B6:B9,"Parcial")+COUNTIF(B11:B14,"Parcial")+COUNTIF(B16:B19,"Parcial")+COUNTIF(B21:B24,"Parcial")+COUNTIF(B26:B29,"Parcial"))+(COUNTIF(B6:B9,"No")+COUNTIF(B11:B14,"No")+COUNTIF(B16:B19,"No")+COUNTIF(B21:B24,"No")+COUNTIF(B26:B29,"No")))=0,"Completa los habilitadores",IF(B37&gt;=0.7,"READY — Avanzar a casos GenAI/ML con confianza",IF(B37&gt;=0.4,"PARCIALMENTE READY — Empezar por Quick Wins de GenAI","NO READY — Invertir 3-6 meses en habilitadores antes de IA")))</f>
        <v>Completa los habilitadores</v>
      </c>
      <c r="C39" s="19"/>
      <c r="D39" s="19"/>
    </row>
  </sheetData>
  <mergeCells count="9">
    <mergeCell ref="A1:D1"/>
    <mergeCell ref="A2:D2"/>
    <mergeCell ref="A5:C5"/>
    <mergeCell ref="A10:C10"/>
    <mergeCell ref="A15:C15"/>
    <mergeCell ref="A20:C20"/>
    <mergeCell ref="A25:C25"/>
    <mergeCell ref="A31:C31"/>
    <mergeCell ref="B39:D39"/>
  </mergeCells>
  <dataValidations count="1">
    <dataValidation allowBlank="true" errorStyle="stop" operator="between" showDropDown="false" showErrorMessage="false" showInputMessage="false" sqref="B6:B9 B11:B14 B16:B19 B21:B24 B26:B29" type="list">
      <formula1>"Sí,Parcial,No,No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2026-05-04T10:29:43Z</dcterms:created>
  <dc:creator>openpyxl</dc:creator>
  <dc:description/>
  <dc:language>en-US</dc:language>
  <cp:lastModifiedBy/>
  <dcterms:modified xsi:type="dcterms:W3CDTF">2026-05-04T10:29:43Z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