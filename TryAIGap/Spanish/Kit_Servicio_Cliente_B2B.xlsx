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álogo" sheetId="1" state="visible" r:id="rId3"/>
    <sheet name="Cuestionario" sheetId="2" state="visible" r:id="rId4"/>
    <sheet name="Canv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<sst xmlns="http://schemas.openxmlformats.org/spreadsheetml/2006/main" count="204" uniqueCount="187">
  <si>
    <t xml:space="preserve">Catálogo de casos de uso · Servicio al Cliente B2B</t>
  </si>
  <si>
    <t xml:space="preserve">Marca en la última columna los casos que aplican a tu organización. La hoja contará automáticamente las selecciones.</t>
  </si>
  <si>
    <t xml:space="preserve">#</t>
  </si>
  <si>
    <t xml:space="preserve">Caso de uso</t>
  </si>
  <si>
    <t xml:space="preserve">Descripción</t>
  </si>
  <si>
    <t xml:space="preserve">Familia de IA</t>
  </si>
  <si>
    <t xml:space="preserve">KPI típico</t>
  </si>
  <si>
    <t xml:space="preserve">Datos requeridos</t>
  </si>
  <si>
    <t xml:space="preserve">Esfuerzo</t>
  </si>
  <si>
    <t xml:space="preserve">Madurez (1-5)</t>
  </si>
  <si>
    <t xml:space="preserve">Compliance / riesgo</t>
  </si>
  <si>
    <t xml:space="preserve">¿Aplica a nosotros?</t>
  </si>
  <si>
    <t xml:space="preserve">Notas</t>
  </si>
  <si>
    <t xml:space="preserve">Copiloto del agente en tiempo real</t>
  </si>
  <si>
    <t xml:space="preserve">Asistente que sugiere respuestas técnicas, procedimientos y artículos de KB durante la atención de un caso complejo.</t>
  </si>
  <si>
    <t xml:space="preserve">GenAI / Agentes</t>
  </si>
  <si>
    <t xml:space="preserve">AHT, FCR, NPS interno del agente</t>
  </si>
  <si>
    <t xml:space="preserve">Histórico de tickets, KB técnica, scripts, transcripciones</t>
  </si>
  <si>
    <t xml:space="preserve">Mediano</t>
  </si>
  <si>
    <t xml:space="preserve">Privacidad de datos del cliente; revisión humana obligatoria; no auto-decisión.</t>
  </si>
  <si>
    <t xml:space="preserve">Búsqueda semántica en base de conocimiento técnica</t>
  </si>
  <si>
    <t xml:space="preserve">Permite encontrar el artículo correcto preguntando en lenguaje natural en lugar de keywords.</t>
  </si>
  <si>
    <t xml:space="preserve">GenAI / RAG</t>
  </si>
  <si>
    <t xml:space="preserve">Tiempo de búsqueda, FCR, autosuficiencia del agente</t>
  </si>
  <si>
    <t xml:space="preserve">KB técnica indexada, taxonomía de productos</t>
  </si>
  <si>
    <t xml:space="preserve">Quick Win</t>
  </si>
  <si>
    <t xml:space="preserve">Acceso por roles a artículos sensibles.</t>
  </si>
  <si>
    <t xml:space="preserve">Resumen automático de tickets / cases complejos</t>
  </si>
  <si>
    <t xml:space="preserve">Genera resumen ejecutivo de tickets largos para handoff entre equipos o reporte a la cuenta.</t>
  </si>
  <si>
    <t xml:space="preserve">GenAI</t>
  </si>
  <si>
    <t xml:space="preserve">Tiempo administrativo, calidad de notas, velocidad de handoff</t>
  </si>
  <si>
    <t xml:space="preserve">Transcripciones, notas históricas, comunicación por correo</t>
  </si>
  <si>
    <t xml:space="preserve">Trazabilidad de la versión generada vs original.</t>
  </si>
  <si>
    <t xml:space="preserve">Generación de respuestas técnicas sugeridas</t>
  </si>
  <si>
    <t xml:space="preserve">Borrador inicial de respuesta a emails o tickets técnicos para revisión y envío del agente.</t>
  </si>
  <si>
    <t xml:space="preserve">Tiempo de respuesta, productividad del agente, consistencia técnica</t>
  </si>
  <si>
    <t xml:space="preserve">Histórico de respuestas, KB, contexto del cliente</t>
  </si>
  <si>
    <t xml:space="preserve">Revisión humana obligatoria; no enviar sin aprobar.</t>
  </si>
  <si>
    <t xml:space="preserve">Clasificación y enrutamiento automático a especialistas</t>
  </si>
  <si>
    <t xml:space="preserve">Asigna cada ticket entrante al equipo o especialista correcto en función de contenido y cuenta.</t>
  </si>
  <si>
    <t xml:space="preserve">ML clásico</t>
  </si>
  <si>
    <t xml:space="preserve">Tiempo de ruteo, % de re-asignaciones, tiempo a primera respuesta</t>
  </si>
  <si>
    <t xml:space="preserve">Histórico de tickets etiquetados con destino correcto</t>
  </si>
  <si>
    <t xml:space="preserve">Sesgo en clasificación; auditoría periódica.</t>
  </si>
  <si>
    <t xml:space="preserve">Predicción de escalamiento de tickets críticos</t>
  </si>
  <si>
    <t xml:space="preserve">Identifica con anticipación los tickets que probablemente requerirán intervención de nivel 2/3.</t>
  </si>
  <si>
    <t xml:space="preserve">Tiempo de detección, tasa de escalamiento controlado, recuperación</t>
  </si>
  <si>
    <t xml:space="preserve">Histórico de tickets escalados, atributos del ticket y de la cuenta</t>
  </si>
  <si>
    <t xml:space="preserve">Falsos negativos críticos; explicabilidad para el agente.</t>
  </si>
  <si>
    <t xml:space="preserve">Análisis de sentimiento en cuentas estratégicas</t>
  </si>
  <si>
    <t xml:space="preserve">Monitoreo continuo de la salud emocional de la relación con cuentas clave a través de las interacciones.</t>
  </si>
  <si>
    <t xml:space="preserve">ML clásico / GenAI</t>
  </si>
  <si>
    <t xml:space="preserve">Tiempo de detección de descontento, retención de cuentas</t>
  </si>
  <si>
    <t xml:space="preserve">Transcripciones, emails, encuestas, tickets</t>
  </si>
  <si>
    <t xml:space="preserve">Privacidad; uso ético; no clasificar a personas.</t>
  </si>
  <si>
    <t xml:space="preserve">Predicción de churn de cuentas por patrones de contacto</t>
  </si>
  <si>
    <t xml:space="preserve">Modela la probabilidad de pérdida de una cuenta a partir de la huella de interacciones de servicio.</t>
  </si>
  <si>
    <t xml:space="preserve">Tasa de retención, ahorro de CLV, alertas tempranas</t>
  </si>
  <si>
    <t xml:space="preserve">Tickets, salud de la cuenta, datos comerciales, NPS</t>
  </si>
  <si>
    <t xml:space="preserve">Decisión que afecta cliente; transparencia y revisión humana.</t>
  </si>
  <si>
    <t xml:space="preserve">Knowledge mining: detección de patrones en tickets</t>
  </si>
  <si>
    <t xml:space="preserve">Descubre tendencias, problemas recurrentes y oportunidades de producto a partir del corpus de tickets.</t>
  </si>
  <si>
    <t xml:space="preserve">ML / GenAI</t>
  </si>
  <si>
    <t xml:space="preserve">Tickets evitados, mejoras de producto, calidad de KB</t>
  </si>
  <si>
    <t xml:space="preserve">Corpus completo de tickets históricos</t>
  </si>
  <si>
    <t xml:space="preserve">Calidad de los hallazgos; revisión humana antes de actuar.</t>
  </si>
  <si>
    <t xml:space="preserve">Asistente conversacional para portal de clientes B2B</t>
  </si>
  <si>
    <t xml:space="preserve">Permite a usuarios de la cuenta resolver consultas frecuentes (estado, facturación, documentación) sin contactar al equipo humano.</t>
  </si>
  <si>
    <t xml:space="preserve">Tasa de autoservicio, deflection, NPS del portal</t>
  </si>
  <si>
    <t xml:space="preserve">KB documental, integraciones (CRM, ERP, ticketing)</t>
  </si>
  <si>
    <t xml:space="preserve">Autenticación robusta; trazabilidad; escalamiento a humano disponible.</t>
  </si>
  <si>
    <t xml:space="preserve">Quality Assurance automatizado de interacciones</t>
  </si>
  <si>
    <t xml:space="preserve">Evalúa el 100% de las interacciones (vs muestra) contra criterios de calidad definidos.</t>
  </si>
  <si>
    <t xml:space="preserve">GenAI + ML clásico</t>
  </si>
  <si>
    <t xml:space="preserve">Cobertura de QA, consistencia, identificación de coaching needs</t>
  </si>
  <si>
    <t xml:space="preserve">Transcripciones, criterios QA documentados</t>
  </si>
  <si>
    <t xml:space="preserve">Privacidad; derechos laborales; transparencia con el equipo.</t>
  </si>
  <si>
    <t xml:space="preserve">Predicción de SLA breach (riesgo de incumplimiento)</t>
  </si>
  <si>
    <t xml:space="preserve">Anticipa cuándo un ticket está en riesgo de incumplir el SLA y dispara acción proactiva.</t>
  </si>
  <si>
    <t xml:space="preserve">Cumplimiento de SLA, ahorro de penalizaciones, satisfacción de cuenta</t>
  </si>
  <si>
    <t xml:space="preserve">Histórico de tickets con tiempos reales y atributos</t>
  </si>
  <si>
    <t xml:space="preserve">Explicabilidad para el agente; falsos positivos no se ignoran.</t>
  </si>
  <si>
    <t xml:space="preserve">Auto-mantenimiento de la base de conocimiento técnica</t>
  </si>
  <si>
    <t xml:space="preserve">Detecta gaps en la KB a partir de los tickets resueltos y propone nuevos artículos o actualizaciones.</t>
  </si>
  <si>
    <t xml:space="preserve">Cobertura de KB, FCR, productividad de agentes nuevos</t>
  </si>
  <si>
    <t xml:space="preserve">Tickets resueltos, KB actual, taxonomía</t>
  </si>
  <si>
    <t xml:space="preserve">Transformacional</t>
  </si>
  <si>
    <t xml:space="preserve">Calidad del contenido generado; aprobación humana de publicación.</t>
  </si>
  <si>
    <t xml:space="preserve">RESUMEN DE SELECCIONES</t>
  </si>
  <si>
    <t xml:space="preserve">Casos marcados "Sí":</t>
  </si>
  <si>
    <t xml:space="preserve">Casos marcados "Tal vez":</t>
  </si>
  <si>
    <t xml:space="preserve">Casos marcados "No":</t>
  </si>
  <si>
    <t xml:space="preserve">Total candidatos (Sí + Tal vez):</t>
  </si>
  <si>
    <t xml:space="preserve">Cuestionario de autoevaluación · Servicio al Cliente B2B</t>
  </si>
  <si>
    <t xml:space="preserve">Responde cada pregunta con un puntaje de 1 a 5. La hoja calculará automáticamente tu puntaje de "pain" y de "readiness" y te ubicará en la matriz 2×2.</t>
  </si>
  <si>
    <t xml:space="preserve">Escala:</t>
  </si>
  <si>
    <t xml:space="preserve">1 = no existe / muy bajo  ·  2 = bajo  ·  3 = medio  ·  4 = alto  ·  5 = sistemático / muy alto</t>
  </si>
  <si>
    <t xml:space="preserve">Pregunta</t>
  </si>
  <si>
    <t xml:space="preserve">Puntaje (1-5)</t>
  </si>
  <si>
    <t xml:space="preserve">BLOQUE A — Pain operativo (qué tan dolido estás)</t>
  </si>
  <si>
    <t xml:space="preserve">A1</t>
  </si>
  <si>
    <t xml:space="preserve">El volumen de tickets repetitivos que mis agentes resuelven varias veces al día es:</t>
  </si>
  <si>
    <t xml:space="preserve">A2</t>
  </si>
  <si>
    <t xml:space="preserve">El tiempo promedio de manejo / resolución de un ticket que quisiéramos reducir es:</t>
  </si>
  <si>
    <t xml:space="preserve">A3</t>
  </si>
  <si>
    <t xml:space="preserve">El tiempo de espera o de respuesta que sufren nuestras cuentas hoy es:</t>
  </si>
  <si>
    <t xml:space="preserve">A4</t>
  </si>
  <si>
    <t xml:space="preserve">La tasa de escalamiento entre niveles de soporte (errores, re-trabajos, re-asignaciones) es:</t>
  </si>
  <si>
    <t xml:space="preserve">BLOQUE B — Readiness de datos</t>
  </si>
  <si>
    <t xml:space="preserve">B1</t>
  </si>
  <si>
    <t xml:space="preserve">Tenemos registros digitales completos de tickets/llamadas históricas (12+ meses):</t>
  </si>
  <si>
    <t xml:space="preserve">B2</t>
  </si>
  <si>
    <t xml:space="preserve">Las llamadas y/o chats están grabadas o transcritas con calidad razonable:</t>
  </si>
  <si>
    <t xml:space="preserve">B3</t>
  </si>
  <si>
    <t xml:space="preserve">Existe una base de conocimiento técnica (KB) actualizada y accesible:</t>
  </si>
  <si>
    <t xml:space="preserve">B4</t>
  </si>
  <si>
    <t xml:space="preserve">Los datos del área están integrados con CRM, ERP y otros sistemas relevantes:</t>
  </si>
  <si>
    <t xml:space="preserve">BLOQUE C — Readiness del equipo</t>
  </si>
  <si>
    <t xml:space="preserve">C1</t>
  </si>
  <si>
    <t xml:space="preserve">El liderazgo del área de servicio está abierto a incorporar IA y patrocina la iniciativa:</t>
  </si>
  <si>
    <t xml:space="preserve">C2</t>
  </si>
  <si>
    <t xml:space="preserve">Existen aliados naturales (champions tecnológicos / superusuarios) en el equipo:</t>
  </si>
  <si>
    <t xml:space="preserve">C3</t>
  </si>
  <si>
    <t xml:space="preserve">La cultura del área tolera experimentos donde la IA puede equivocarse al inicio:</t>
  </si>
  <si>
    <t xml:space="preserve">C4</t>
  </si>
  <si>
    <t xml:space="preserve">El equipo ha pasado por proyectos de transformación previos con resultados razonables:</t>
  </si>
  <si>
    <t xml:space="preserve">BLOQUE D — Alineación estratégica</t>
  </si>
  <si>
    <t xml:space="preserve">D1</t>
  </si>
  <si>
    <t xml:space="preserve">Tenemos metas explícitas de mejorar NPS / CSAT / retención o reducir costo de atención:</t>
  </si>
  <si>
    <t xml:space="preserve">D2</t>
  </si>
  <si>
    <t xml:space="preserve">Hay presupuesto razonable para invertir en IA en servicio al cliente en los próximos 12 meses:</t>
  </si>
  <si>
    <t xml:space="preserve">D3</t>
  </si>
  <si>
    <t xml:space="preserve">La regulación aplicable nos permite usar IA en interacciones con cuentas/clientes:</t>
  </si>
  <si>
    <t xml:space="preserve">D4</t>
  </si>
  <si>
    <t xml:space="preserve">Existe un caso de negocio claro de impacto en costos, ingresos o experiencia:</t>
  </si>
  <si>
    <t xml:space="preserve">RESULTADOS</t>
  </si>
  <si>
    <t xml:space="preserve">Pain score (Bloque A):</t>
  </si>
  <si>
    <t xml:space="preserve">Readiness score (Bloques B + C + D):</t>
  </si>
  <si>
    <t xml:space="preserve">RECOMENDACIÓN:</t>
  </si>
  <si>
    <t xml:space="preserve">Promedios por bloque (referencia):</t>
  </si>
  <si>
    <t xml:space="preserve">Bloque A — Pain operativo:</t>
  </si>
  <si>
    <t xml:space="preserve">Bloque B — Datos:</t>
  </si>
  <si>
    <t xml:space="preserve">Bloque C — Equipo:</t>
  </si>
  <si>
    <t xml:space="preserve">Bloque D — Estrategia:</t>
  </si>
  <si>
    <t xml:space="preserve">Matriz 2×2 — Pain × Readiness</t>
  </si>
  <si>
    <t xml:space="preserve">Readiness BAJA (&lt; 3.5)</t>
  </si>
  <si>
    <t xml:space="preserve">Readiness ALTA (≥ 3.5)</t>
  </si>
  <si>
    <t xml:space="preserve">Pain ALTO (≥ 3.5)</t>
  </si>
  <si>
    <t xml:space="preserve">Invertir en habilitadores primero</t>
  </si>
  <si>
    <t xml:space="preserve">QUICK WIN PRIORITARIO</t>
  </si>
  <si>
    <t xml:space="preserve">Pain BAJO (&lt; 3.5)</t>
  </si>
  <si>
    <t xml:space="preserve">Aún no es momento</t>
  </si>
  <si>
    <t xml:space="preserve">Oportunidad sin urgencia</t>
  </si>
  <si>
    <t xml:space="preserve">Canvas de oportunidad · Servicio al Cliente B2B</t>
  </si>
  <si>
    <t xml:space="preserve">Documenta una oportunidad concreta en una página. Reemplaza el texto en cursiva con tu información. Salida lista para alimentar la plantilla del Módulo 2.</t>
  </si>
  <si>
    <t xml:space="preserve">1.  Nombre del caso</t>
  </si>
  <si>
    <t xml:space="preserve">   Prompt: ≤ 8 palabras</t>
  </si>
  <si>
    <t xml:space="preserve">Ej. Copiloto del agente para tickets técnicos</t>
  </si>
  <si>
    <t xml:space="preserve">2.  Pain point concreto</t>
  </si>
  <si>
    <t xml:space="preserve">   Prompt: Hoy nuestros agentes/clientes sufren X cuando Y</t>
  </si>
  <si>
    <t xml:space="preserve">Ej. Hoy nuestros agentes invierten 40 minutos por ticket técnico buscando información dispersa entre KB, tickets antiguos y manuales del producto.</t>
  </si>
  <si>
    <t xml:space="preserve">3.  Frecuencia y volumen</t>
  </si>
  <si>
    <t xml:space="preserve">   Prompt: ¿Cuántas veces ocurre por mes y cuántas personas afecta?</t>
  </si>
  <si>
    <t xml:space="preserve">Ej. ~2.500 tickets técnicos/mes, 18 agentes afectados.</t>
  </si>
  <si>
    <t xml:space="preserve">4.  Costo estimado del dolor</t>
  </si>
  <si>
    <t xml:space="preserve">   Prompt: USD/mes o tiempo/mes equivalente</t>
  </si>
  <si>
    <t xml:space="preserve">Ej. 2.500 tickets × 40 min = 1.667 horas/mes ≈ USD 50.000/mes en costo de agente.</t>
  </si>
  <si>
    <t xml:space="preserve">5.  KPI primario a mover</t>
  </si>
  <si>
    <t xml:space="preserve">   Prompt: Indicador concreto y dirección</t>
  </si>
  <si>
    <t xml:space="preserve">Ej. AHT (de 18 min a 13 min), FCR (de 65% a 75%).</t>
  </si>
  <si>
    <t xml:space="preserve">6.  Magnitud esperada del cambio</t>
  </si>
  <si>
    <t xml:space="preserve">   Prompt: De X a Y, en qué horizonte</t>
  </si>
  <si>
    <t xml:space="preserve">Ej. Reducir AHT 25% en 9 meses; ahorrar USD 12.000/mes a partir del mes 6.</t>
  </si>
  <si>
    <t xml:space="preserve">7.  Datos disponibles</t>
  </si>
  <si>
    <t xml:space="preserve">   Prompt: Fuentes, volumen, calidad, brechas</t>
  </si>
  <si>
    <t xml:space="preserve">Ej. KB en Confluence (6.000 artículos, calidad media), histórico de 18 meses de tickets en Zendesk, transcripciones de chat.</t>
  </si>
  <si>
    <t xml:space="preserve">8.  Familia de IA hipotética</t>
  </si>
  <si>
    <t xml:space="preserve">   Prompt: Reglas / ML clásico / GenAI / Híbrida (Módulo 4)</t>
  </si>
  <si>
    <t xml:space="preserve">Ej. GenAI con RAG sobre KB e histórico de tickets, integrado al desktop del agente.</t>
  </si>
  <si>
    <t xml:space="preserve">9.  Riesgos visibles</t>
  </si>
  <si>
    <t xml:space="preserve">   Prompt: Regulatorios, técnicos, de adopción</t>
  </si>
  <si>
    <t xml:space="preserve">Ej. Privacidad de datos del cliente; resistencia inicial del equipo; calidad inconsistente de KB.</t>
  </si>
  <si>
    <t xml:space="preserve">10.  Sponsor del caso</t>
  </si>
  <si>
    <t xml:space="preserve">   Prompt: Nombre y rol del patrocinador ejecutivo</t>
  </si>
  <si>
    <t xml:space="preserve">Ej. Director de Servicio al Cliente, María González.</t>
  </si>
  <si>
    <t xml:space="preserve">SALIDA — Resumen del caso para Módulo 2 / 3</t>
  </si>
  <si>
    <t xml:space="preserve">Cuando completes los 10 campos, copia el contenido en la plantilla de oportunidad del Módulo 2 (8 campos: nombre, área propietaria, problema en una frase, vector de valor, indicador a mover, familia de IA, datos requeridos, riesgos visibles). El canvas y la plantilla están alineados.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</si>
</sst>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A5F"/>
      <name val="Arial"/>
      <family val="0"/>
      <charset val="1"/>
    </font>
    <font>
      <i val="true"/>
      <sz val="11"/>
      <color rgb="FF6B7280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sz val="10"/>
      <color rgb="FF2D2D2D"/>
      <name val="Arial"/>
      <family val="0"/>
      <charset val="1"/>
    </font>
    <font>
      <b val="true"/>
      <sz val="10"/>
      <color rgb="FF2D2D2D"/>
      <name val="Arial"/>
      <family val="0"/>
      <charset val="1"/>
    </font>
    <font>
      <b val="true"/>
      <sz val="11"/>
      <color rgb="FF2D2D2D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14"/>
      <color rgb="FF2E7D32"/>
      <name val="Arial"/>
      <family val="0"/>
      <charset val="1"/>
    </font>
    <font>
      <b val="true"/>
      <sz val="14"/>
      <color rgb="FFB7791F"/>
      <name val="Arial"/>
      <family val="0"/>
      <charset val="1"/>
    </font>
    <font>
      <b val="true"/>
      <sz val="14"/>
      <color rgb="FF6B7280"/>
      <name val="Arial"/>
      <family val="0"/>
      <charset val="1"/>
    </font>
    <font>
      <b val="true"/>
      <sz val="14"/>
      <color rgb="FF1F3A5F"/>
      <name val="Arial"/>
      <family val="0"/>
      <charset val="1"/>
    </font>
    <font>
      <i val="true"/>
      <sz val="10"/>
      <color rgb="FF2D2D2D"/>
      <name val="Arial"/>
      <family val="0"/>
      <charset val="1"/>
    </font>
    <font>
      <b val="true"/>
      <sz val="12"/>
      <color rgb="FFB91C1C"/>
      <name val="Arial"/>
      <family val="0"/>
      <charset val="1"/>
    </font>
    <font>
      <b val="true"/>
      <sz val="11"/>
      <color rgb="FFB91C1C"/>
      <name val="Arial"/>
      <family val="0"/>
      <charset val="1"/>
    </font>
    <font>
      <sz val="11"/>
      <color rgb="FF2D2D2D"/>
      <name val="Arial"/>
      <family val="0"/>
      <charset val="1"/>
    </font>
    <font>
      <b val="true"/>
      <sz val="13"/>
      <color rgb="FF0000FF"/>
      <name val="Arial"/>
      <family val="0"/>
      <charset val="1"/>
    </font>
    <font>
      <b val="true"/>
      <sz val="12"/>
      <color rgb="FF2E75B6"/>
      <name val="Arial"/>
      <family val="0"/>
      <charset val="1"/>
    </font>
    <font>
      <b val="true"/>
      <sz val="11"/>
      <color rgb="FF2E75B6"/>
      <name val="Arial"/>
      <family val="0"/>
      <charset val="1"/>
    </font>
    <font>
      <b val="true"/>
      <sz val="13"/>
      <color rgb="FF1F3A5F"/>
      <name val="Arial"/>
      <family val="0"/>
      <charset val="1"/>
    </font>
    <font>
      <b val="true"/>
      <sz val="12"/>
      <color rgb="FF2D2D2D"/>
      <name val="Arial"/>
      <family val="0"/>
      <charset val="1"/>
    </font>
    <font>
      <b val="true"/>
      <sz val="16"/>
      <color rgb="FFB91C1C"/>
      <name val="Arial"/>
      <family val="0"/>
      <charset val="1"/>
    </font>
    <font>
      <b val="true"/>
      <sz val="16"/>
      <color rgb="FF2E7D32"/>
      <name val="Arial"/>
      <family val="0"/>
      <charset val="1"/>
    </font>
    <font>
      <b val="true"/>
      <sz val="11"/>
      <color rgb="FFB7791F"/>
      <name val="Arial"/>
      <family val="0"/>
      <charset val="1"/>
    </font>
    <font>
      <b val="true"/>
      <sz val="11"/>
      <color rgb="FF2E7D32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i val="true"/>
      <sz val="11"/>
      <color rgb="FF2D2D2D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E8EEF4"/>
        <bgColor rgb="FFE8F4E8"/>
      </patternFill>
    </fill>
    <fill>
      <patternFill patternType="solid">
        <fgColor rgb="FFFFF8DC"/>
        <bgColor rgb="FFFFF4D6"/>
      </patternFill>
    </fill>
    <fill>
      <patternFill patternType="solid">
        <fgColor rgb="FFE8F4E8"/>
        <bgColor rgb="FFE8EEF4"/>
      </patternFill>
    </fill>
    <fill>
      <patternFill patternType="solid">
        <fgColor rgb="FFFDE7E9"/>
        <bgColor rgb="FFFFF4D6"/>
      </patternFill>
    </fill>
    <fill>
      <patternFill patternType="solid">
        <fgColor rgb="FFDCEEDC"/>
        <bgColor rgb="FFE8F4E8"/>
      </patternFill>
    </fill>
    <fill>
      <patternFill patternType="solid">
        <fgColor rgb="FFFFF4D6"/>
        <bgColor rgb="FFFFF8DC"/>
      </patternFill>
    </fill>
    <fill>
      <patternFill patternType="solid">
        <fgColor rgb="FFF7F9FB"/>
        <bgColor rgb="FFE8F4E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1F3A5F"/>
      </left>
      <right style="thin">
        <color rgb="FF1F3A5F"/>
      </right>
      <top style="thin">
        <color rgb="FF1F3A5F"/>
      </top>
      <bottom style="thin">
        <color rgb="FF1F3A5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2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7F9FB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791F"/>
      <rgbColor rgb="FF800080"/>
      <rgbColor rgb="FF008080"/>
      <rgbColor rgb="FFCCCCCC"/>
      <rgbColor rgb="FF808080"/>
      <rgbColor rgb="FF9999FF"/>
      <rgbColor rgb="FF993366"/>
      <rgbColor rgb="FFFFF8DC"/>
      <rgbColor rgb="FFE8F4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4"/>
      <rgbColor rgb="FFDCEEDC"/>
      <rgbColor rgb="FFFFF4D6"/>
      <rgbColor rgb="FF99CCFF"/>
      <rgbColor rgb="FFFF99CC"/>
      <rgbColor rgb="FFCC99FF"/>
      <rgbColor rgb="FFFDE7E9"/>
      <rgbColor rgb="FF2E75B6"/>
      <rgbColor rgb="FF33CCCC"/>
      <rgbColor rgb="FF99CC00"/>
      <rgbColor rgb="FFFFCC00"/>
      <rgbColor rgb="FFFF9900"/>
      <rgbColor rgb="FFFF6600"/>
      <rgbColor rgb="FF6B7280"/>
      <rgbColor rgb="FF969696"/>
      <rgbColor rgb="FF1F3A5F"/>
      <rgbColor rgb="FF2E7D32"/>
      <rgbColor rgb="FF003300"/>
      <rgbColor rgb="FF333300"/>
      <rgbColor rgb="FFB91C1C"/>
      <rgbColor rgb="FF993366"/>
      <rgbColor rgb="FF333399"/>
      <rgbColor rgb="FF2D2D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K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38"/>
    <col collapsed="false" customWidth="true" hidden="false" outlineLevel="0" max="4" min="4" style="0" width="18"/>
    <col collapsed="false" customWidth="true" hidden="false" outlineLevel="0" max="5" min="5" style="0" width="24"/>
    <col collapsed="false" customWidth="true" hidden="false" outlineLevel="0" max="6" min="6" style="0" width="28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9" min="9" style="0" width="28"/>
    <col collapsed="false" customWidth="true" hidden="false" outlineLevel="0" max="10" min="10" style="0" width="16"/>
    <col collapsed="false" customWidth="true" hidden="false" outlineLevel="0" max="11" min="11" style="0" width="2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69.75" hidden="false" customHeight="true" outlineLevel="0" collapsed="false">
      <c r="A5" s="4" t="n">
        <v>1</v>
      </c>
      <c r="B5" s="5" t="s">
        <v>13</v>
      </c>
      <c r="C5" s="6" t="s">
        <v>14</v>
      </c>
      <c r="D5" s="6" t="s">
        <v>15</v>
      </c>
      <c r="E5" s="6" t="s">
        <v>16</v>
      </c>
      <c r="F5" s="6" t="s">
        <v>17</v>
      </c>
      <c r="G5" s="7" t="s">
        <v>18</v>
      </c>
      <c r="H5" s="8" t="n">
        <v>5</v>
      </c>
      <c r="I5" s="6" t="s">
        <v>19</v>
      </c>
      <c r="J5" s="9"/>
      <c r="K5" s="10"/>
    </row>
    <row r="6" customFormat="false" ht="69.75" hidden="false" customHeight="true" outlineLevel="0" collapsed="false">
      <c r="A6" s="4" t="n">
        <v>2</v>
      </c>
      <c r="B6" s="5" t="s">
        <v>20</v>
      </c>
      <c r="C6" s="6" t="s">
        <v>21</v>
      </c>
      <c r="D6" s="6" t="s">
        <v>22</v>
      </c>
      <c r="E6" s="6" t="s">
        <v>23</v>
      </c>
      <c r="F6" s="6" t="s">
        <v>24</v>
      </c>
      <c r="G6" s="7" t="s">
        <v>25</v>
      </c>
      <c r="H6" s="8" t="n">
        <v>5</v>
      </c>
      <c r="I6" s="6" t="s">
        <v>26</v>
      </c>
      <c r="J6" s="9"/>
      <c r="K6" s="10"/>
    </row>
    <row r="7" customFormat="false" ht="69.75" hidden="false" customHeight="true" outlineLevel="0" collapsed="false">
      <c r="A7" s="4" t="n">
        <v>3</v>
      </c>
      <c r="B7" s="5" t="s">
        <v>27</v>
      </c>
      <c r="C7" s="6" t="s">
        <v>28</v>
      </c>
      <c r="D7" s="6" t="s">
        <v>29</v>
      </c>
      <c r="E7" s="6" t="s">
        <v>30</v>
      </c>
      <c r="F7" s="6" t="s">
        <v>31</v>
      </c>
      <c r="G7" s="7" t="s">
        <v>25</v>
      </c>
      <c r="H7" s="8" t="n">
        <v>5</v>
      </c>
      <c r="I7" s="6" t="s">
        <v>32</v>
      </c>
      <c r="J7" s="9"/>
      <c r="K7" s="10"/>
    </row>
    <row r="8" customFormat="false" ht="69.75" hidden="false" customHeight="true" outlineLevel="0" collapsed="false">
      <c r="A8" s="4" t="n">
        <v>4</v>
      </c>
      <c r="B8" s="5" t="s">
        <v>33</v>
      </c>
      <c r="C8" s="6" t="s">
        <v>34</v>
      </c>
      <c r="D8" s="6" t="s">
        <v>29</v>
      </c>
      <c r="E8" s="6" t="s">
        <v>35</v>
      </c>
      <c r="F8" s="6" t="s">
        <v>36</v>
      </c>
      <c r="G8" s="7" t="s">
        <v>25</v>
      </c>
      <c r="H8" s="8" t="n">
        <v>4</v>
      </c>
      <c r="I8" s="6" t="s">
        <v>37</v>
      </c>
      <c r="J8" s="9"/>
      <c r="K8" s="10"/>
    </row>
    <row r="9" customFormat="false" ht="69.75" hidden="false" customHeight="true" outlineLevel="0" collapsed="false">
      <c r="A9" s="4" t="n">
        <v>5</v>
      </c>
      <c r="B9" s="5" t="s">
        <v>38</v>
      </c>
      <c r="C9" s="6" t="s">
        <v>39</v>
      </c>
      <c r="D9" s="6" t="s">
        <v>40</v>
      </c>
      <c r="E9" s="6" t="s">
        <v>41</v>
      </c>
      <c r="F9" s="6" t="s">
        <v>42</v>
      </c>
      <c r="G9" s="7" t="s">
        <v>25</v>
      </c>
      <c r="H9" s="8" t="n">
        <v>5</v>
      </c>
      <c r="I9" s="6" t="s">
        <v>43</v>
      </c>
      <c r="J9" s="9"/>
      <c r="K9" s="10"/>
    </row>
    <row r="10" customFormat="false" ht="69.75" hidden="false" customHeight="true" outlineLevel="0" collapsed="false">
      <c r="A10" s="4" t="n">
        <v>6</v>
      </c>
      <c r="B10" s="5" t="s">
        <v>44</v>
      </c>
      <c r="C10" s="6" t="s">
        <v>45</v>
      </c>
      <c r="D10" s="6" t="s">
        <v>40</v>
      </c>
      <c r="E10" s="6" t="s">
        <v>46</v>
      </c>
      <c r="F10" s="6" t="s">
        <v>47</v>
      </c>
      <c r="G10" s="7" t="s">
        <v>18</v>
      </c>
      <c r="H10" s="8" t="n">
        <v>4</v>
      </c>
      <c r="I10" s="6" t="s">
        <v>48</v>
      </c>
      <c r="J10" s="9"/>
      <c r="K10" s="10"/>
    </row>
    <row r="11" customFormat="false" ht="69.75" hidden="false" customHeight="true" outlineLevel="0" collapsed="false">
      <c r="A11" s="4" t="n">
        <v>7</v>
      </c>
      <c r="B11" s="5" t="s">
        <v>49</v>
      </c>
      <c r="C11" s="6" t="s">
        <v>50</v>
      </c>
      <c r="D11" s="6" t="s">
        <v>51</v>
      </c>
      <c r="E11" s="6" t="s">
        <v>52</v>
      </c>
      <c r="F11" s="6" t="s">
        <v>53</v>
      </c>
      <c r="G11" s="7" t="s">
        <v>18</v>
      </c>
      <c r="H11" s="8" t="n">
        <v>4</v>
      </c>
      <c r="I11" s="6" t="s">
        <v>54</v>
      </c>
      <c r="J11" s="9"/>
      <c r="K11" s="10"/>
    </row>
    <row r="12" customFormat="false" ht="69.75" hidden="false" customHeight="true" outlineLevel="0" collapsed="false">
      <c r="A12" s="4" t="n">
        <v>8</v>
      </c>
      <c r="B12" s="5" t="s">
        <v>55</v>
      </c>
      <c r="C12" s="6" t="s">
        <v>56</v>
      </c>
      <c r="D12" s="6" t="s">
        <v>40</v>
      </c>
      <c r="E12" s="6" t="s">
        <v>57</v>
      </c>
      <c r="F12" s="6" t="s">
        <v>58</v>
      </c>
      <c r="G12" s="7" t="s">
        <v>18</v>
      </c>
      <c r="H12" s="8" t="n">
        <v>4</v>
      </c>
      <c r="I12" s="6" t="s">
        <v>59</v>
      </c>
      <c r="J12" s="9"/>
      <c r="K12" s="10"/>
    </row>
    <row r="13" customFormat="false" ht="69.75" hidden="false" customHeight="true" outlineLevel="0" collapsed="false">
      <c r="A13" s="4" t="n">
        <v>9</v>
      </c>
      <c r="B13" s="5" t="s">
        <v>60</v>
      </c>
      <c r="C13" s="6" t="s">
        <v>61</v>
      </c>
      <c r="D13" s="6" t="s">
        <v>62</v>
      </c>
      <c r="E13" s="6" t="s">
        <v>63</v>
      </c>
      <c r="F13" s="6" t="s">
        <v>64</v>
      </c>
      <c r="G13" s="7" t="s">
        <v>18</v>
      </c>
      <c r="H13" s="8" t="n">
        <v>3</v>
      </c>
      <c r="I13" s="6" t="s">
        <v>65</v>
      </c>
      <c r="J13" s="9"/>
      <c r="K13" s="10"/>
    </row>
    <row r="14" customFormat="false" ht="69.75" hidden="false" customHeight="true" outlineLevel="0" collapsed="false">
      <c r="A14" s="4" t="n">
        <v>10</v>
      </c>
      <c r="B14" s="5" t="s">
        <v>66</v>
      </c>
      <c r="C14" s="6" t="s">
        <v>67</v>
      </c>
      <c r="D14" s="6" t="s">
        <v>15</v>
      </c>
      <c r="E14" s="6" t="s">
        <v>68</v>
      </c>
      <c r="F14" s="6" t="s">
        <v>69</v>
      </c>
      <c r="G14" s="7" t="s">
        <v>18</v>
      </c>
      <c r="H14" s="8" t="n">
        <v>4</v>
      </c>
      <c r="I14" s="6" t="s">
        <v>70</v>
      </c>
      <c r="J14" s="9"/>
      <c r="K14" s="10"/>
    </row>
    <row r="15" customFormat="false" ht="69.75" hidden="false" customHeight="true" outlineLevel="0" collapsed="false">
      <c r="A15" s="4" t="n">
        <v>11</v>
      </c>
      <c r="B15" s="5" t="s">
        <v>71</v>
      </c>
      <c r="C15" s="6" t="s">
        <v>72</v>
      </c>
      <c r="D15" s="6" t="s">
        <v>73</v>
      </c>
      <c r="E15" s="6" t="s">
        <v>74</v>
      </c>
      <c r="F15" s="6" t="s">
        <v>75</v>
      </c>
      <c r="G15" s="7" t="s">
        <v>18</v>
      </c>
      <c r="H15" s="8" t="n">
        <v>4</v>
      </c>
      <c r="I15" s="6" t="s">
        <v>76</v>
      </c>
      <c r="J15" s="9"/>
      <c r="K15" s="10"/>
    </row>
    <row r="16" customFormat="false" ht="69.75" hidden="false" customHeight="true" outlineLevel="0" collapsed="false">
      <c r="A16" s="4" t="n">
        <v>12</v>
      </c>
      <c r="B16" s="5" t="s">
        <v>77</v>
      </c>
      <c r="C16" s="6" t="s">
        <v>78</v>
      </c>
      <c r="D16" s="6" t="s">
        <v>40</v>
      </c>
      <c r="E16" s="6" t="s">
        <v>79</v>
      </c>
      <c r="F16" s="6" t="s">
        <v>80</v>
      </c>
      <c r="G16" s="7" t="s">
        <v>18</v>
      </c>
      <c r="H16" s="8" t="n">
        <v>3</v>
      </c>
      <c r="I16" s="6" t="s">
        <v>81</v>
      </c>
      <c r="J16" s="9"/>
      <c r="K16" s="10"/>
    </row>
    <row r="17" customFormat="false" ht="69.75" hidden="false" customHeight="true" outlineLevel="0" collapsed="false">
      <c r="A17" s="4" t="n">
        <v>13</v>
      </c>
      <c r="B17" s="5" t="s">
        <v>82</v>
      </c>
      <c r="C17" s="6" t="s">
        <v>83</v>
      </c>
      <c r="D17" s="6" t="s">
        <v>29</v>
      </c>
      <c r="E17" s="6" t="s">
        <v>84</v>
      </c>
      <c r="F17" s="6" t="s">
        <v>85</v>
      </c>
      <c r="G17" s="7" t="s">
        <v>86</v>
      </c>
      <c r="H17" s="8" t="n">
        <v>3</v>
      </c>
      <c r="I17" s="6" t="s">
        <v>87</v>
      </c>
      <c r="J17" s="9"/>
      <c r="K17" s="10"/>
    </row>
    <row r="19" customFormat="false" ht="15" hidden="false" customHeight="false" outlineLevel="0" collapsed="false">
      <c r="A19" s="11" t="s">
        <v>88</v>
      </c>
      <c r="B19" s="11"/>
      <c r="C19" s="11"/>
      <c r="D19" s="11"/>
    </row>
    <row r="20" customFormat="false" ht="17.35" hidden="false" customHeight="false" outlineLevel="0" collapsed="false">
      <c r="A20" s="12" t="s">
        <v>89</v>
      </c>
      <c r="B20" s="13" t="n">
        <f aca="false">COUNTIF(J5:J17,"Sí")</f>
        <v>0</v>
      </c>
    </row>
    <row r="21" customFormat="false" ht="17.35" hidden="false" customHeight="false" outlineLevel="0" collapsed="false">
      <c r="A21" s="12" t="s">
        <v>90</v>
      </c>
      <c r="B21" s="14" t="n">
        <f aca="false">COUNTIF(J5:J17,"Tal vez")</f>
        <v>0</v>
      </c>
    </row>
    <row r="22" customFormat="false" ht="17.35" hidden="false" customHeight="false" outlineLevel="0" collapsed="false">
      <c r="A22" s="12" t="s">
        <v>91</v>
      </c>
      <c r="B22" s="15" t="n">
        <f aca="false">COUNTIF(J5:J17,"No")</f>
        <v>0</v>
      </c>
    </row>
    <row r="23" customFormat="false" ht="17.35" hidden="false" customHeight="false" outlineLevel="0" collapsed="false">
      <c r="A23" s="16" t="s">
        <v>92</v>
      </c>
      <c r="B23" s="17" t="n">
        <f aca="false">COUNTIF(J5:J17,"Sí")+COUNTIF(J5:J17,"Tal vez")</f>
        <v>0</v>
      </c>
    </row>
  </sheetData>
  <mergeCells count="3">
    <mergeCell ref="A1:K1"/>
    <mergeCell ref="A2:K2"/>
    <mergeCell ref="A19:D19"/>
  </mergeCells>
  <dataValidations count="1">
    <dataValidation allowBlank="true" errorStyle="stop" operator="between" showDropDown="false" showErrorMessage="false" showInputMessage="false" sqref="J5:J17" type="list">
      <formula1>"Sí,No,Tal vez"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E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6"/>
    <col collapsed="false" customWidth="true" hidden="false" outlineLevel="0" max="3" min="3" style="0" width="22"/>
    <col collapsed="false" customWidth="true" hidden="false" outlineLevel="0" max="5" min="4" style="0" width="4"/>
  </cols>
  <sheetData>
    <row r="1" customFormat="false" ht="27.75" hidden="false" customHeight="true" outlineLevel="0" collapsed="false">
      <c r="A1" s="1" t="s">
        <v>93</v>
      </c>
      <c r="B1" s="1"/>
      <c r="C1" s="1"/>
      <c r="D1" s="1"/>
      <c r="E1" s="1"/>
    </row>
    <row r="2" customFormat="false" ht="30" hidden="false" customHeight="true" outlineLevel="0" collapsed="false">
      <c r="A2" s="2" t="s">
        <v>94</v>
      </c>
      <c r="B2" s="2"/>
      <c r="C2" s="2"/>
      <c r="D2" s="2"/>
      <c r="E2" s="2"/>
    </row>
    <row r="4" customFormat="false" ht="15" hidden="false" customHeight="false" outlineLevel="0" collapsed="false">
      <c r="A4" s="18" t="s">
        <v>95</v>
      </c>
      <c r="B4" s="19" t="s">
        <v>96</v>
      </c>
      <c r="C4" s="19"/>
      <c r="D4" s="19"/>
      <c r="E4" s="19"/>
    </row>
    <row r="6" customFormat="false" ht="15" hidden="false" customHeight="false" outlineLevel="0" collapsed="false">
      <c r="A6" s="3" t="s">
        <v>2</v>
      </c>
      <c r="B6" s="3" t="s">
        <v>97</v>
      </c>
      <c r="C6" s="3" t="s">
        <v>98</v>
      </c>
    </row>
    <row r="8" customFormat="false" ht="15" hidden="false" customHeight="false" outlineLevel="0" collapsed="false">
      <c r="A8" s="20" t="s">
        <v>99</v>
      </c>
      <c r="B8" s="20"/>
      <c r="C8" s="20"/>
    </row>
    <row r="9" customFormat="false" ht="30" hidden="false" customHeight="true" outlineLevel="0" collapsed="false">
      <c r="A9" s="21" t="s">
        <v>100</v>
      </c>
      <c r="B9" s="22" t="s">
        <v>101</v>
      </c>
      <c r="C9" s="23"/>
    </row>
    <row r="10" customFormat="false" ht="30" hidden="false" customHeight="true" outlineLevel="0" collapsed="false">
      <c r="A10" s="21" t="s">
        <v>102</v>
      </c>
      <c r="B10" s="22" t="s">
        <v>103</v>
      </c>
      <c r="C10" s="23"/>
    </row>
    <row r="11" customFormat="false" ht="30" hidden="false" customHeight="true" outlineLevel="0" collapsed="false">
      <c r="A11" s="21" t="s">
        <v>104</v>
      </c>
      <c r="B11" s="22" t="s">
        <v>105</v>
      </c>
      <c r="C11" s="23"/>
    </row>
    <row r="12" customFormat="false" ht="30" hidden="false" customHeight="true" outlineLevel="0" collapsed="false">
      <c r="A12" s="21" t="s">
        <v>106</v>
      </c>
      <c r="B12" s="22" t="s">
        <v>107</v>
      </c>
      <c r="C12" s="23"/>
    </row>
    <row r="14" customFormat="false" ht="15" hidden="false" customHeight="false" outlineLevel="0" collapsed="false">
      <c r="A14" s="24" t="s">
        <v>108</v>
      </c>
      <c r="B14" s="24"/>
      <c r="C14" s="24"/>
    </row>
    <row r="15" customFormat="false" ht="30" hidden="false" customHeight="true" outlineLevel="0" collapsed="false">
      <c r="A15" s="25" t="s">
        <v>109</v>
      </c>
      <c r="B15" s="22" t="s">
        <v>110</v>
      </c>
      <c r="C15" s="23"/>
    </row>
    <row r="16" customFormat="false" ht="30" hidden="false" customHeight="true" outlineLevel="0" collapsed="false">
      <c r="A16" s="25" t="s">
        <v>111</v>
      </c>
      <c r="B16" s="22" t="s">
        <v>112</v>
      </c>
      <c r="C16" s="23"/>
    </row>
    <row r="17" customFormat="false" ht="30" hidden="false" customHeight="true" outlineLevel="0" collapsed="false">
      <c r="A17" s="25" t="s">
        <v>113</v>
      </c>
      <c r="B17" s="22" t="s">
        <v>114</v>
      </c>
      <c r="C17" s="23"/>
    </row>
    <row r="18" customFormat="false" ht="30" hidden="false" customHeight="true" outlineLevel="0" collapsed="false">
      <c r="A18" s="25" t="s">
        <v>115</v>
      </c>
      <c r="B18" s="22" t="s">
        <v>116</v>
      </c>
      <c r="C18" s="23"/>
    </row>
    <row r="20" customFormat="false" ht="15" hidden="false" customHeight="false" outlineLevel="0" collapsed="false">
      <c r="A20" s="24" t="s">
        <v>117</v>
      </c>
      <c r="B20" s="24"/>
      <c r="C20" s="24"/>
    </row>
    <row r="21" customFormat="false" ht="30" hidden="false" customHeight="true" outlineLevel="0" collapsed="false">
      <c r="A21" s="25" t="s">
        <v>118</v>
      </c>
      <c r="B21" s="22" t="s">
        <v>119</v>
      </c>
      <c r="C21" s="23"/>
    </row>
    <row r="22" customFormat="false" ht="30" hidden="false" customHeight="true" outlineLevel="0" collapsed="false">
      <c r="A22" s="25" t="s">
        <v>120</v>
      </c>
      <c r="B22" s="22" t="s">
        <v>121</v>
      </c>
      <c r="C22" s="23"/>
    </row>
    <row r="23" customFormat="false" ht="30" hidden="false" customHeight="true" outlineLevel="0" collapsed="false">
      <c r="A23" s="25" t="s">
        <v>122</v>
      </c>
      <c r="B23" s="22" t="s">
        <v>123</v>
      </c>
      <c r="C23" s="23"/>
    </row>
    <row r="24" customFormat="false" ht="30" hidden="false" customHeight="true" outlineLevel="0" collapsed="false">
      <c r="A24" s="25" t="s">
        <v>124</v>
      </c>
      <c r="B24" s="22" t="s">
        <v>125</v>
      </c>
      <c r="C24" s="23"/>
    </row>
    <row r="26" customFormat="false" ht="15" hidden="false" customHeight="false" outlineLevel="0" collapsed="false">
      <c r="A26" s="24" t="s">
        <v>126</v>
      </c>
      <c r="B26" s="24"/>
      <c r="C26" s="24"/>
    </row>
    <row r="27" customFormat="false" ht="30" hidden="false" customHeight="true" outlineLevel="0" collapsed="false">
      <c r="A27" s="25" t="s">
        <v>127</v>
      </c>
      <c r="B27" s="22" t="s">
        <v>128</v>
      </c>
      <c r="C27" s="23"/>
    </row>
    <row r="28" customFormat="false" ht="30" hidden="false" customHeight="true" outlineLevel="0" collapsed="false">
      <c r="A28" s="25" t="s">
        <v>129</v>
      </c>
      <c r="B28" s="22" t="s">
        <v>130</v>
      </c>
      <c r="C28" s="23"/>
    </row>
    <row r="29" customFormat="false" ht="30" hidden="false" customHeight="true" outlineLevel="0" collapsed="false">
      <c r="A29" s="25" t="s">
        <v>131</v>
      </c>
      <c r="B29" s="22" t="s">
        <v>132</v>
      </c>
      <c r="C29" s="23"/>
    </row>
    <row r="30" customFormat="false" ht="30" hidden="false" customHeight="true" outlineLevel="0" collapsed="false">
      <c r="A30" s="25" t="s">
        <v>133</v>
      </c>
      <c r="B30" s="22" t="s">
        <v>134</v>
      </c>
      <c r="C30" s="23"/>
    </row>
    <row r="33" customFormat="false" ht="16.15" hidden="false" customHeight="false" outlineLevel="0" collapsed="false">
      <c r="A33" s="26" t="s">
        <v>135</v>
      </c>
      <c r="B33" s="26"/>
      <c r="C33" s="26"/>
    </row>
    <row r="34" customFormat="false" ht="19.7" hidden="false" customHeight="false" outlineLevel="0" collapsed="false">
      <c r="A34" s="27" t="s">
        <v>136</v>
      </c>
      <c r="B34" s="28" t="n">
        <f aca="false">IFERROR(AVERAGE(C9:C12),0)</f>
        <v>0</v>
      </c>
      <c r="C34" s="29" t="str">
        <f aca="false">IF(B34=0,"Sin datos",IF(B34&gt;=3.5,"Pain ALTO",IF(B34&gt;=2.5,"Pain MEDIO","Pain BAJO")))</f>
        <v>Sin datos</v>
      </c>
    </row>
    <row r="35" customFormat="false" ht="19.7" hidden="false" customHeight="false" outlineLevel="0" collapsed="false">
      <c r="A35" s="27" t="s">
        <v>137</v>
      </c>
      <c r="B35" s="30" t="n">
        <f aca="false">IFERROR(AVERAGE(C15:C18,C21:C24,C27:C30),0)</f>
        <v>0</v>
      </c>
      <c r="C35" s="29" t="str">
        <f aca="false">IF(B35=0,"Sin datos",IF(B35&gt;=3.5,"Readiness ALTA",IF(B35&gt;=2.5,"Readiness MEDIA","Readiness BAJA")))</f>
        <v>Sin datos</v>
      </c>
    </row>
    <row r="37" customFormat="false" ht="31.5" hidden="false" customHeight="true" outlineLevel="0" collapsed="false">
      <c r="A37" s="31" t="s">
        <v>138</v>
      </c>
      <c r="B37" s="32" t="str">
        <f aca="false">IF(OR(B34=0,B35=0),"Completa primero el cuestionario",IF(AND(B34&gt;=3.5,B35&gt;=3.5),"QUICK WIN PRIORITARIO — Avanzar ahora",IF(AND(B34&gt;=3.5,B35&lt;3.5),"INVERTIR EN HABILITADORES — Pain alto pero falta readiness",IF(AND(B34&lt;3.5,B35&gt;=3.5),"OPORTUNIDAD SIN URGENCIA — Capacidad sí, pain no","AÚN NO ES MOMENTO — Construir capacidad antes"))))</f>
        <v>Completa primero el cuestionario</v>
      </c>
      <c r="C37" s="32"/>
    </row>
    <row r="40" customFormat="false" ht="15" hidden="false" customHeight="false" outlineLevel="0" collapsed="false">
      <c r="A40" s="2" t="s">
        <v>139</v>
      </c>
      <c r="B40" s="2"/>
      <c r="C40" s="2"/>
    </row>
    <row r="41" customFormat="false" ht="15" hidden="false" customHeight="false" outlineLevel="0" collapsed="false">
      <c r="A41" s="33" t="s">
        <v>140</v>
      </c>
      <c r="B41" s="34" t="n">
        <f aca="false">IFERROR(AVERAGE(C9:C12),0)</f>
        <v>0</v>
      </c>
    </row>
    <row r="42" customFormat="false" ht="15" hidden="false" customHeight="false" outlineLevel="0" collapsed="false">
      <c r="A42" s="33" t="s">
        <v>141</v>
      </c>
      <c r="B42" s="34" t="n">
        <f aca="false">IFERROR(AVERAGE(C15:C18),0)</f>
        <v>0</v>
      </c>
    </row>
    <row r="43" customFormat="false" ht="15" hidden="false" customHeight="false" outlineLevel="0" collapsed="false">
      <c r="A43" s="33" t="s">
        <v>142</v>
      </c>
      <c r="B43" s="34" t="n">
        <f aca="false">IFERROR(AVERAGE(C21:C24),0)</f>
        <v>0</v>
      </c>
    </row>
    <row r="44" customFormat="false" ht="15" hidden="false" customHeight="false" outlineLevel="0" collapsed="false">
      <c r="A44" s="33" t="s">
        <v>143</v>
      </c>
      <c r="B44" s="34" t="n">
        <f aca="false">IFERROR(AVERAGE(C27:C30),0)</f>
        <v>0</v>
      </c>
    </row>
    <row r="47" customFormat="false" ht="16.15" hidden="false" customHeight="false" outlineLevel="0" collapsed="false">
      <c r="A47" s="26" t="s">
        <v>144</v>
      </c>
      <c r="B47" s="26"/>
      <c r="C47" s="26"/>
      <c r="D47" s="26"/>
      <c r="E47" s="26"/>
    </row>
    <row r="48" customFormat="false" ht="26.85" hidden="false" customHeight="false" outlineLevel="0" collapsed="false">
      <c r="B48" s="3" t="s">
        <v>145</v>
      </c>
      <c r="C48" s="3" t="s">
        <v>146</v>
      </c>
    </row>
    <row r="49" customFormat="false" ht="30" hidden="false" customHeight="true" outlineLevel="0" collapsed="false">
      <c r="A49" s="3" t="s">
        <v>147</v>
      </c>
      <c r="B49" s="35" t="s">
        <v>148</v>
      </c>
      <c r="C49" s="36" t="s">
        <v>149</v>
      </c>
    </row>
    <row r="50" customFormat="false" ht="30" hidden="false" customHeight="true" outlineLevel="0" collapsed="false">
      <c r="A50" s="3" t="s">
        <v>150</v>
      </c>
      <c r="B50" s="37" t="s">
        <v>151</v>
      </c>
      <c r="C50" s="38" t="s">
        <v>152</v>
      </c>
    </row>
  </sheetData>
  <mergeCells count="11">
    <mergeCell ref="A1:E1"/>
    <mergeCell ref="A2:E2"/>
    <mergeCell ref="B4:E4"/>
    <mergeCell ref="A8:C8"/>
    <mergeCell ref="A14:C14"/>
    <mergeCell ref="A20:C20"/>
    <mergeCell ref="A26:C26"/>
    <mergeCell ref="A33:C33"/>
    <mergeCell ref="B37:C37"/>
    <mergeCell ref="A40:C40"/>
    <mergeCell ref="A47:E47"/>
  </mergeCells>
  <dataValidations count="1">
    <dataValidation allowBlank="true" error="Ingresa un valor entre 1 y 5" errorStyle="stop" errorTitle="Valor inválido" operator="between" showDropDown="false" showErrorMessage="false" showInputMessage="false" sqref="C9:C12 C15:C18 C21:C24 C27:C30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280"/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30"/>
  </cols>
  <sheetData>
    <row r="1" customFormat="false" ht="27.75" hidden="false" customHeight="true" outlineLevel="0" collapsed="false">
      <c r="A1" s="1" t="s">
        <v>153</v>
      </c>
      <c r="B1" s="1"/>
      <c r="C1" s="1"/>
      <c r="D1" s="1"/>
    </row>
    <row r="2" customFormat="false" ht="30" hidden="false" customHeight="true" outlineLevel="0" collapsed="false">
      <c r="A2" s="2" t="s">
        <v>154</v>
      </c>
      <c r="B2" s="2"/>
      <c r="C2" s="2"/>
      <c r="D2" s="2"/>
    </row>
    <row r="4" customFormat="false" ht="15" hidden="false" customHeight="true" outlineLevel="0" collapsed="false">
      <c r="A4" s="39" t="s">
        <v>155</v>
      </c>
      <c r="B4" s="39"/>
      <c r="C4" s="39"/>
      <c r="D4" s="39"/>
    </row>
    <row r="5" customFormat="false" ht="15" hidden="false" customHeight="true" outlineLevel="0" collapsed="false">
      <c r="A5" s="40" t="s">
        <v>156</v>
      </c>
      <c r="B5" s="40"/>
      <c r="C5" s="40"/>
      <c r="D5" s="40"/>
    </row>
    <row r="6" customFormat="false" ht="37.5" hidden="false" customHeight="true" outlineLevel="0" collapsed="false">
      <c r="A6" s="41" t="s">
        <v>157</v>
      </c>
      <c r="B6" s="41"/>
      <c r="C6" s="41"/>
      <c r="D6" s="41"/>
    </row>
    <row r="7" customFormat="false" ht="15" hidden="false" customHeight="true" outlineLevel="0" collapsed="false">
      <c r="A7" s="39" t="s">
        <v>158</v>
      </c>
      <c r="B7" s="39"/>
      <c r="C7" s="39"/>
      <c r="D7" s="39"/>
    </row>
    <row r="8" customFormat="false" ht="15" hidden="false" customHeight="true" outlineLevel="0" collapsed="false">
      <c r="A8" s="40" t="s">
        <v>159</v>
      </c>
      <c r="B8" s="40"/>
      <c r="C8" s="40"/>
      <c r="D8" s="40"/>
    </row>
    <row r="9" customFormat="false" ht="37.5" hidden="false" customHeight="true" outlineLevel="0" collapsed="false">
      <c r="A9" s="41" t="s">
        <v>160</v>
      </c>
      <c r="B9" s="41"/>
      <c r="C9" s="41"/>
      <c r="D9" s="41"/>
    </row>
    <row r="10" customFormat="false" ht="15" hidden="false" customHeight="true" outlineLevel="0" collapsed="false">
      <c r="A10" s="39" t="s">
        <v>161</v>
      </c>
      <c r="B10" s="39"/>
      <c r="C10" s="39"/>
      <c r="D10" s="39"/>
    </row>
    <row r="11" customFormat="false" ht="15" hidden="false" customHeight="true" outlineLevel="0" collapsed="false">
      <c r="A11" s="40" t="s">
        <v>162</v>
      </c>
      <c r="B11" s="40"/>
      <c r="C11" s="40"/>
      <c r="D11" s="40"/>
    </row>
    <row r="12" customFormat="false" ht="37.5" hidden="false" customHeight="true" outlineLevel="0" collapsed="false">
      <c r="A12" s="41" t="s">
        <v>163</v>
      </c>
      <c r="B12" s="41"/>
      <c r="C12" s="41"/>
      <c r="D12" s="41"/>
    </row>
    <row r="13" customFormat="false" ht="15" hidden="false" customHeight="true" outlineLevel="0" collapsed="false">
      <c r="A13" s="39" t="s">
        <v>164</v>
      </c>
      <c r="B13" s="39"/>
      <c r="C13" s="39"/>
      <c r="D13" s="39"/>
    </row>
    <row r="14" customFormat="false" ht="15" hidden="false" customHeight="true" outlineLevel="0" collapsed="false">
      <c r="A14" s="40" t="s">
        <v>165</v>
      </c>
      <c r="B14" s="40"/>
      <c r="C14" s="40"/>
      <c r="D14" s="40"/>
    </row>
    <row r="15" customFormat="false" ht="37.5" hidden="false" customHeight="true" outlineLevel="0" collapsed="false">
      <c r="A15" s="41" t="s">
        <v>166</v>
      </c>
      <c r="B15" s="41"/>
      <c r="C15" s="41"/>
      <c r="D15" s="41"/>
    </row>
    <row r="16" customFormat="false" ht="15" hidden="false" customHeight="true" outlineLevel="0" collapsed="false">
      <c r="A16" s="39" t="s">
        <v>167</v>
      </c>
      <c r="B16" s="39"/>
      <c r="C16" s="39"/>
      <c r="D16" s="39"/>
    </row>
    <row r="17" customFormat="false" ht="15" hidden="false" customHeight="true" outlineLevel="0" collapsed="false">
      <c r="A17" s="40" t="s">
        <v>168</v>
      </c>
      <c r="B17" s="40"/>
      <c r="C17" s="40"/>
      <c r="D17" s="40"/>
    </row>
    <row r="18" customFormat="false" ht="37.5" hidden="false" customHeight="true" outlineLevel="0" collapsed="false">
      <c r="A18" s="41" t="s">
        <v>169</v>
      </c>
      <c r="B18" s="41"/>
      <c r="C18" s="41"/>
      <c r="D18" s="41"/>
    </row>
    <row r="19" customFormat="false" ht="15" hidden="false" customHeight="true" outlineLevel="0" collapsed="false">
      <c r="A19" s="39" t="s">
        <v>170</v>
      </c>
      <c r="B19" s="39"/>
      <c r="C19" s="39"/>
      <c r="D19" s="39"/>
    </row>
    <row r="20" customFormat="false" ht="15" hidden="false" customHeight="true" outlineLevel="0" collapsed="false">
      <c r="A20" s="40" t="s">
        <v>171</v>
      </c>
      <c r="B20" s="40"/>
      <c r="C20" s="40"/>
      <c r="D20" s="40"/>
    </row>
    <row r="21" customFormat="false" ht="37.5" hidden="false" customHeight="true" outlineLevel="0" collapsed="false">
      <c r="A21" s="41" t="s">
        <v>172</v>
      </c>
      <c r="B21" s="41"/>
      <c r="C21" s="41"/>
      <c r="D21" s="41"/>
    </row>
    <row r="22" customFormat="false" ht="15" hidden="false" customHeight="true" outlineLevel="0" collapsed="false">
      <c r="A22" s="39" t="s">
        <v>173</v>
      </c>
      <c r="B22" s="39"/>
      <c r="C22" s="39"/>
      <c r="D22" s="39"/>
    </row>
    <row r="23" customFormat="false" ht="15" hidden="false" customHeight="true" outlineLevel="0" collapsed="false">
      <c r="A23" s="40" t="s">
        <v>174</v>
      </c>
      <c r="B23" s="40"/>
      <c r="C23" s="40"/>
      <c r="D23" s="40"/>
    </row>
    <row r="24" customFormat="false" ht="37.5" hidden="false" customHeight="true" outlineLevel="0" collapsed="false">
      <c r="A24" s="41" t="s">
        <v>175</v>
      </c>
      <c r="B24" s="41"/>
      <c r="C24" s="41"/>
      <c r="D24" s="41"/>
    </row>
    <row r="25" customFormat="false" ht="15" hidden="false" customHeight="true" outlineLevel="0" collapsed="false">
      <c r="A25" s="39" t="s">
        <v>176</v>
      </c>
      <c r="B25" s="39"/>
      <c r="C25" s="39"/>
      <c r="D25" s="39"/>
    </row>
    <row r="26" customFormat="false" ht="15" hidden="false" customHeight="true" outlineLevel="0" collapsed="false">
      <c r="A26" s="40" t="s">
        <v>177</v>
      </c>
      <c r="B26" s="40"/>
      <c r="C26" s="40"/>
      <c r="D26" s="40"/>
    </row>
    <row r="27" customFormat="false" ht="37.5" hidden="false" customHeight="true" outlineLevel="0" collapsed="false">
      <c r="A27" s="41" t="s">
        <v>178</v>
      </c>
      <c r="B27" s="41"/>
      <c r="C27" s="41"/>
      <c r="D27" s="41"/>
    </row>
    <row r="28" customFormat="false" ht="15" hidden="false" customHeight="true" outlineLevel="0" collapsed="false">
      <c r="A28" s="39" t="s">
        <v>179</v>
      </c>
      <c r="B28" s="39"/>
      <c r="C28" s="39"/>
      <c r="D28" s="39"/>
    </row>
    <row r="29" customFormat="false" ht="15" hidden="false" customHeight="true" outlineLevel="0" collapsed="false">
      <c r="A29" s="40" t="s">
        <v>180</v>
      </c>
      <c r="B29" s="40"/>
      <c r="C29" s="40"/>
      <c r="D29" s="40"/>
    </row>
    <row r="30" customFormat="false" ht="37.5" hidden="false" customHeight="true" outlineLevel="0" collapsed="false">
      <c r="A30" s="41" t="s">
        <v>181</v>
      </c>
      <c r="B30" s="41"/>
      <c r="C30" s="41"/>
      <c r="D30" s="41"/>
    </row>
    <row r="31" customFormat="false" ht="15" hidden="false" customHeight="true" outlineLevel="0" collapsed="false">
      <c r="A31" s="39" t="s">
        <v>182</v>
      </c>
      <c r="B31" s="39"/>
      <c r="C31" s="39"/>
      <c r="D31" s="39"/>
    </row>
    <row r="32" customFormat="false" ht="15" hidden="false" customHeight="true" outlineLevel="0" collapsed="false">
      <c r="A32" s="40" t="s">
        <v>183</v>
      </c>
      <c r="B32" s="40"/>
      <c r="C32" s="40"/>
      <c r="D32" s="40"/>
    </row>
    <row r="33" customFormat="false" ht="37.5" hidden="false" customHeight="true" outlineLevel="0" collapsed="false">
      <c r="A33" s="41" t="s">
        <v>184</v>
      </c>
      <c r="B33" s="41"/>
      <c r="C33" s="41"/>
      <c r="D33" s="41"/>
    </row>
    <row r="36" customFormat="false" ht="16.15" hidden="false" customHeight="false" outlineLevel="0" collapsed="false">
      <c r="A36" s="26" t="s">
        <v>185</v>
      </c>
      <c r="B36" s="26"/>
      <c r="C36" s="26"/>
      <c r="D36" s="26"/>
    </row>
    <row r="37" customFormat="false" ht="49.5" hidden="false" customHeight="true" outlineLevel="0" collapsed="false">
      <c r="A37" s="42" t="s">
        <v>186</v>
      </c>
      <c r="B37" s="42"/>
      <c r="C37" s="42"/>
      <c r="D37" s="42"/>
    </row>
  </sheetData>
  <mergeCells count="34">
    <mergeCell ref="A1:D1"/>
    <mergeCell ref="A2:D2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6:D36"/>
    <mergeCell ref="A37:D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2026-05-03T19:59:03Z</dcterms:created>
  <dc:creator>openpyxl</dc:creator>
  <dc:description/>
  <dc:language>en-US</dc:language>
  <cp:lastModifiedBy/>
  <dcterms:modified xsi:type="dcterms:W3CDTF">2026-05-03T19:59:03Z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