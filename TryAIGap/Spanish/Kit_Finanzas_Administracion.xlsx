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" sheetId="1" state="visible" r:id="rId3"/>
    <sheet name="Cuestionario" sheetId="2" state="visible" r:id="rId4"/>
    <sheet name="Canvas" sheetId="3" state="visible" r:id="rId5"/>
    <sheet name="Habilitadores" sheetId="4" state="visible" r:id="rId6"/>
    <sheet name="KPIs y Targe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<sst xmlns="http://schemas.openxmlformats.org/spreadsheetml/2006/main" count="292" uniqueCount="260">
  <si>
    <t xml:space="preserve">Catálogo de casos de uso · Finanzas y Administración</t>
  </si>
  <si>
    <t xml:space="preserve">12 casos organizados en 4 bloques: Cobranza · Tesorería · Contabilidad y FP&amp;A · Compras. Énfasis en Quick Wins (resaltados en verde). Marca en la última columna los casos que aplican.</t>
  </si>
  <si>
    <t xml:space="preserve">#</t>
  </si>
  <si>
    <t xml:space="preserve">Caso de uso</t>
  </si>
  <si>
    <t xml:space="preserve">Descripción</t>
  </si>
  <si>
    <t xml:space="preserve">Familia de IA</t>
  </si>
  <si>
    <t xml:space="preserve">KPI típico</t>
  </si>
  <si>
    <t xml:space="preserve">Datos requeridos</t>
  </si>
  <si>
    <t xml:space="preserve">Esfuerzo</t>
  </si>
  <si>
    <t xml:space="preserve">Madurez (1-5)</t>
  </si>
  <si>
    <t xml:space="preserve">Compliance / riesgo</t>
  </si>
  <si>
    <t xml:space="preserve">¿Aplica a nosotros?</t>
  </si>
  <si>
    <t xml:space="preserve">Notas</t>
  </si>
  <si>
    <t xml:space="preserve">BLOQUE A — CUENTAS POR COBRAR Y COBRANZA</t>
  </si>
  <si>
    <t xml:space="preserve">Priorización inteligente de cartera de cobranza</t>
  </si>
  <si>
    <t xml:space="preserve">Modelo que prioriza qué cuentas perseguir hoy según probabilidad de pago, monto, antigüedad, comportamiento histórico y salud de la cuenta. El cobrador trabaja primero la cartera de mayor recuperación esperada.</t>
  </si>
  <si>
    <t xml:space="preserve">ML clásico</t>
  </si>
  <si>
    <t xml:space="preserve">DSO, recuperación efectiva, productividad del cobrador, % cuentas trabajadas</t>
  </si>
  <si>
    <t xml:space="preserve">Histórico de cuentas por cobrar, comportamiento de pago, salud comercial, datos del cliente</t>
  </si>
  <si>
    <t xml:space="preserve">Quick Win</t>
  </si>
  <si>
    <t xml:space="preserve">Trato justo con clientes; explicabilidad de la priorización; trazabilidad de gestiones.</t>
  </si>
  <si>
    <t xml:space="preserve">Asistente de outreach personalizado de cobranza</t>
  </si>
  <si>
    <t xml:space="preserve">Genera mensajes de cobranza personalizados (email, WhatsApp, voz) según perfil del cliente, monto y contexto. Agente puede ejecutar la cadencia de outreach y escalar a humano cuando aplica.</t>
  </si>
  <si>
    <t xml:space="preserve">GenAI + Agentic</t>
  </si>
  <si>
    <t xml:space="preserve">Tasa de respuesta, tiempo a recuperación, productividad del cobrador</t>
  </si>
  <si>
    <t xml:space="preserve">Plantillas de mensajes, histórico de comunicaciones, perfil del cliente, integraciones de canal</t>
  </si>
  <si>
    <t xml:space="preserve">Cumplimiento de regulación de cobranza (LFPC, hábitos de cobro); consentimiento; trazabilidad.</t>
  </si>
  <si>
    <t xml:space="preserve">Predicción de probabilidad y fecha de pago por cliente</t>
  </si>
  <si>
    <t xml:space="preserve">Modelo que predice cuándo va a pagar cada cliente (en días) y con qué probabilidad. Alimenta el forecast de cash flow y permite a tesorería anticipar liquidez con mejor calidad.</t>
  </si>
  <si>
    <t xml:space="preserve">Accuracy del forecast de cobranza, error de cash forecast, retraso promedio detectado</t>
  </si>
  <si>
    <t xml:space="preserve">Histórico de pagos por cliente, atributos de la factura, condiciones comerciales, calendario</t>
  </si>
  <si>
    <t xml:space="preserve">Sesgos por segmento de cliente; recalibración periódica; explicabilidad para tesorería.</t>
  </si>
  <si>
    <t xml:space="preserve">BLOQUE B — TESORERÍA Y CASH FLOW</t>
  </si>
  <si>
    <t xml:space="preserve">Conciliación bancaria automática</t>
  </si>
  <si>
    <t xml:space="preserve">Algoritmo que matchea movimientos bancarios contra registros contables, cuentas por cobrar y por pagar. Resuelve la mayoría automáticamente y sólo escala los casos ambiguos al equipo.</t>
  </si>
  <si>
    <t xml:space="preserve">ML + GenAI</t>
  </si>
  <si>
    <t xml:space="preserve">Tiempo de conciliación mensual, % conciliado automáticamente, errores detectados</t>
  </si>
  <si>
    <t xml:space="preserve">Extractos bancarios, registros contables, AR/AP abiertos, taxonomía de transacciones</t>
  </si>
  <si>
    <t xml:space="preserve">Trazabilidad del match; revisión humana de excepciones; controles antifraude.</t>
  </si>
  <si>
    <t xml:space="preserve">Forecast de cash flow a 13 semanas</t>
  </si>
  <si>
    <t xml:space="preserve">Modelo que proyecta entradas y salidas de caja semanales combinando AR esperadas, AP programadas, nómina, impuestos y patrones estacionales. Detecta semanas de stress de liquidez con anticipación.</t>
  </si>
  <si>
    <t xml:space="preserve">Error de forecast (MAPE), días de visibilidad de cash, alertas de stress</t>
  </si>
  <si>
    <t xml:space="preserve">Histórico de movimientos bancarios, AR/AP, nómina, calendario de impuestos, presupuesto</t>
  </si>
  <si>
    <t xml:space="preserve">Sesgos por shocks atípicos; reentrenamiento ante cambios de modelo de negocio; explicabilidad.</t>
  </si>
  <si>
    <t xml:space="preserve">Detección de anomalías en transacciones bancarias</t>
  </si>
  <si>
    <t xml:space="preserve">Modelo que detecta movimientos bancarios atípicos por monto, contraparte, hora o frecuencia. Alerta al equipo de tesorería y compliance para investigar antes que sea tarde.</t>
  </si>
  <si>
    <t xml:space="preserve">Anomalías detectadas, tiempo de detección, falsos positivos, ahorro por fraude evitado</t>
  </si>
  <si>
    <t xml:space="preserve">Histórico de transacciones bancarias, taxonomía de proveedores, listas de contrapartes</t>
  </si>
  <si>
    <t xml:space="preserve">Falsos positivos pueden bloquear pagos legítimos; revisión humana; trazabilidad.</t>
  </si>
  <si>
    <t xml:space="preserve">BLOQUE C — CONTABILIDAD, REPORTES Y FP&amp;A</t>
  </si>
  <si>
    <t xml:space="preserve">Categorización automática de transacciones contables</t>
  </si>
  <si>
    <t xml:space="preserve">Asignación automática de cuenta contable, centro de costo y proyecto a cada transacción a partir de descripción, monto y patrón histórico. Acelera el cierre y reduce errores de codificación.</t>
  </si>
  <si>
    <t xml:space="preserve">Tiempo de cierre, % transacciones autocodificadas correctamente, errores de codificación</t>
  </si>
  <si>
    <t xml:space="preserve">Plan de cuentas, histórico de transacciones codificadas, reglas internas, taxonomía de centros</t>
  </si>
  <si>
    <t xml:space="preserve">Cumplimiento contable (NIIF/IFRS, normas locales); revisión humana de excepciones.</t>
  </si>
  <si>
    <t xml:space="preserve">Generación automática de reportes ejecutivos (management reporting)</t>
  </si>
  <si>
    <t xml:space="preserve">Genera el comentario narrativo del paquete mensual ejecutivo: variaciones, drivers, alertas y recomendaciones, a partir de los estados financieros y del presupuesto. El finance team revisa y aprueba.</t>
  </si>
  <si>
    <t xml:space="preserve">GenAI</t>
  </si>
  <si>
    <t xml:space="preserve">Tiempo de elaboración del paquete ejecutivo, calidad y consistencia del comentario, % aprobado en primera revisión</t>
  </si>
  <si>
    <t xml:space="preserve">Estados financieros, presupuesto, KPIs, calendario contable, plantilla del paquete</t>
  </si>
  <si>
    <t xml:space="preserve">Aprobación humana obligatoria; trazabilidad de cifras; alucinaciones (no inventar números).</t>
  </si>
  <si>
    <t xml:space="preserve">Análisis de variaciones presupuestarias asistido</t>
  </si>
  <si>
    <t xml:space="preserve">Asistente que identifica y explica las variaciones presupuestarias relevantes (real vs presupuesto vs forecast), ranquea por materialidad y sugiere preguntas a hacer a los líderes de área.</t>
  </si>
  <si>
    <t xml:space="preserve">GenAI + ML</t>
  </si>
  <si>
    <t xml:space="preserve">Tiempo de análisis de variaciones, calidad del briefing al CFO, decisiones tomadas</t>
  </si>
  <si>
    <t xml:space="preserve">Real, presupuesto, forecast, drivers operativos, comentarios históricos</t>
  </si>
  <si>
    <t xml:space="preserve">Calidad del dato fuente; revisión humana del análisis; explicabilidad.</t>
  </si>
  <si>
    <t xml:space="preserve">Copiloto conversacional de FP&amp;A / Finanzas</t>
  </si>
  <si>
    <t xml:space="preserve">Asistente que responde preguntas en lenguaje natural sobre datos financieros ("¿cuál fue el margen bruto de la línea X en marzo?"), genera tablas y gráficos sobre la marcha, y arma extractos de análisis.</t>
  </si>
  <si>
    <t xml:space="preserve">GenAI + RAG + Text-to-SQL</t>
  </si>
  <si>
    <t xml:space="preserve">Tiempo de respuesta a preguntas ad hoc, autosuficiencia de líderes, productividad FP&amp;A</t>
  </si>
  <si>
    <t xml:space="preserve">Datos transaccionales y maestros, modelo semántico/datamart, definiciones documentadas</t>
  </si>
  <si>
    <t xml:space="preserve">Mediano</t>
  </si>
  <si>
    <t xml:space="preserve">Riesgo de respuestas erróneas con cifras; trazabilidad obligatoria; cita de fuente; control de acceso.</t>
  </si>
  <si>
    <t xml:space="preserve">BLOQUE D — COMPRAS</t>
  </si>
  <si>
    <t xml:space="preserve">Comparación inteligente de cotizaciones y proveedores</t>
  </si>
  <si>
    <t xml:space="preserve">Procesa cotizaciones recibidas (PDF, email) y arma una comparación normalizada lado a lado: precio, condiciones, plazos, riesgos. Sugiere preguntas de aclaración y recomienda proveedor con justificación.</t>
  </si>
  <si>
    <t xml:space="preserve">Tiempo de evaluación de cotizaciones, calidad de la decisión, ahorro por comparación efectiva</t>
  </si>
  <si>
    <t xml:space="preserve">Cotizaciones recibidas, plantilla de evaluación, histórico de proveedores, criterios de selección</t>
  </si>
  <si>
    <t xml:space="preserve">Sesgos en recomendaciones; aprobación humana; políticas de compra; conflictos de interés.</t>
  </si>
  <si>
    <t xml:space="preserve">Análisis de gasto (spend analytics) y oportunidades de ahorro</t>
  </si>
  <si>
    <t xml:space="preserve">Clasifica todo el gasto histórico en categorías estándar, detecta concentraciones, fragmentación de proveedores y oportunidades de consolidación o renegociación. Produce un dashboard de ahorro potencial.</t>
  </si>
  <si>
    <t xml:space="preserve">Ahorro identificado, % de gasto bajo gestión, número de proveedores</t>
  </si>
  <si>
    <t xml:space="preserve">Datos de AP, OCs, contratos, taxonomía estándar de categorías de gasto</t>
  </si>
  <si>
    <t xml:space="preserve">Calidad de la categorización; explicabilidad de oportunidades; coordinación con dueños de gasto.</t>
  </si>
  <si>
    <t xml:space="preserve">RESUMEN DE SELECCIONES</t>
  </si>
  <si>
    <t xml:space="preserve">Casos marcados "Sí":</t>
  </si>
  <si>
    <t xml:space="preserve">Casos marcados "Tal vez":</t>
  </si>
  <si>
    <t xml:space="preserve">Casos marcados "No":</t>
  </si>
  <si>
    <t xml:space="preserve">Total candidatos (Sí + Tal vez):</t>
  </si>
  <si>
    <t xml:space="preserve">● Casos resaltados en verde son Quick Wins recomendados como punto de partida (≤ 12 semanas, alto ROI).</t>
  </si>
  <si>
    <t xml:space="preserve">Cuestionario de autoevaluación · Finanzas y Administración</t>
  </si>
  <si>
    <t xml:space="preserve">16 preguntas en 4 bloques. Escala 1-5. Calcula automáticamente Pain × Readiness y entrega una recomendación estratégica.</t>
  </si>
  <si>
    <t xml:space="preserve">Escala:</t>
  </si>
  <si>
    <t xml:space="preserve">1 = no existe / muy bajo  ·  2 = bajo  ·  3 = medio  ·  4 = alto  ·  5 = sistemático / muy alto</t>
  </si>
  <si>
    <t xml:space="preserve">Pregunta</t>
  </si>
  <si>
    <t xml:space="preserve">Puntaje (1-5)</t>
  </si>
  <si>
    <t xml:space="preserve">BLOQUE A — Pain financiero-administrativo</t>
  </si>
  <si>
    <t xml:space="preserve">A1</t>
  </si>
  <si>
    <t xml:space="preserve">El tiempo y los errores en el cierre contable mensual son un dolor importante:</t>
  </si>
  <si>
    <t xml:space="preserve">A2</t>
  </si>
  <si>
    <t xml:space="preserve">Nuestro DSO / días de cobranza pendiente y el costo de capital de trabajo asociado son altos:</t>
  </si>
  <si>
    <t xml:space="preserve">A3</t>
  </si>
  <si>
    <t xml:space="preserve">El error en el forecast de cash flow / sorpresas de liquidez es relevante:</t>
  </si>
  <si>
    <t xml:space="preserve">A4</t>
  </si>
  <si>
    <t xml:space="preserve">El tiempo del equipo financiero en tareas manuales repetitivas (conciliaciones, reportes, categorización) es alto:</t>
  </si>
  <si>
    <t xml:space="preserve">BLOQUE B — Readiness de datos financieros</t>
  </si>
  <si>
    <t xml:space="preserve">B1</t>
  </si>
  <si>
    <t xml:space="preserve">Tenemos un ERP / sistema contable corporativo único con histórico de 12+ meses:</t>
  </si>
  <si>
    <t xml:space="preserve">B2</t>
  </si>
  <si>
    <t xml:space="preserve">Los datos bancarios y de transacciones están digitalizados, completos y trazables (extractos, AR, AP):</t>
  </si>
  <si>
    <t xml:space="preserve">B3</t>
  </si>
  <si>
    <t xml:space="preserve">El plan de cuentas, taxonomía de centros y políticas contables están estandarizados y documentados:</t>
  </si>
  <si>
    <t xml:space="preserve">B4</t>
  </si>
  <si>
    <t xml:space="preserve">Los datos están integrados ERP-banco-cobranza-presupuesto (no en silos ni Excel sueltos):</t>
  </si>
  <si>
    <t xml:space="preserve">BLOQUE C — Readiness del equipo financiero</t>
  </si>
  <si>
    <t xml:space="preserve">C1</t>
  </si>
  <si>
    <t xml:space="preserve">El liderazgo de finanzas (CFO, controller) está abierto a incorporar IA y patrocina la iniciativa:</t>
  </si>
  <si>
    <t xml:space="preserve">C2</t>
  </si>
  <si>
    <t xml:space="preserve">Existen aliados naturales (champions tecnológicos / superusuarios) en el equipo financiero:</t>
  </si>
  <si>
    <t xml:space="preserve">C3</t>
  </si>
  <si>
    <t xml:space="preserve">La cultura tolera IA con humano-en-el-bucle, especialmente en cifras que firma el CFO:</t>
  </si>
  <si>
    <t xml:space="preserve">C4</t>
  </si>
  <si>
    <t xml:space="preserve">El equipo ha pasado por proyectos de digitalización financiera previos con resultados razonables:</t>
  </si>
  <si>
    <t xml:space="preserve">BLOQUE D — Alineación estratégica y compliance contable</t>
  </si>
  <si>
    <t xml:space="preserve">D1</t>
  </si>
  <si>
    <t xml:space="preserve">Tenemos metas explícitas: reducir DSO, mejorar accuracy de forecast, acelerar cierre, reducir errores:</t>
  </si>
  <si>
    <t xml:space="preserve">D2</t>
  </si>
  <si>
    <t xml:space="preserve">Hay presupuesto razonable para invertir en IA en finanzas en los próximos 12 meses:</t>
  </si>
  <si>
    <t xml:space="preserve">D3</t>
  </si>
  <si>
    <t xml:space="preserve">El compliance fiscal/contable está cubierto y el marco regulatorio (NIIF/IFRS, SAT/SII/DIAN, auditoría externa) está identificado:</t>
  </si>
  <si>
    <t xml:space="preserve">D4</t>
  </si>
  <si>
    <t xml:space="preserve">Hay alineación con CFO, comité de auditoría y board sobre prioridades de transformación financiera:</t>
  </si>
  <si>
    <t xml:space="preserve">RESULTADOS</t>
  </si>
  <si>
    <t xml:space="preserve">Pain score (Bloque A):</t>
  </si>
  <si>
    <t xml:space="preserve">Readiness score (Bloques B + C + D):</t>
  </si>
  <si>
    <t xml:space="preserve">RECOMENDACIÓN:</t>
  </si>
  <si>
    <t xml:space="preserve">Promedios por bloque (referencia):</t>
  </si>
  <si>
    <t xml:space="preserve">Bloque A — Pain:</t>
  </si>
  <si>
    <t xml:space="preserve">Bloque B — Datos:</t>
  </si>
  <si>
    <t xml:space="preserve">Bloque C — Equipo:</t>
  </si>
  <si>
    <t xml:space="preserve">Bloque D — Estrategia:</t>
  </si>
  <si>
    <t xml:space="preserve">Matriz 2×2 — Pain × Readiness</t>
  </si>
  <si>
    <t xml:space="preserve">Readiness BAJA (&lt; 3.5)</t>
  </si>
  <si>
    <t xml:space="preserve">Readiness ALTA (≥ 3.5)</t>
  </si>
  <si>
    <t xml:space="preserve">Pain ALTO (≥ 3.5)</t>
  </si>
  <si>
    <t xml:space="preserve">Invertir en habilitadores primero</t>
  </si>
  <si>
    <t xml:space="preserve">QUICK WIN PRIORITARIO</t>
  </si>
  <si>
    <t xml:space="preserve">Pain BAJO (&lt; 3.5)</t>
  </si>
  <si>
    <t xml:space="preserve">Aún no es momento</t>
  </si>
  <si>
    <t xml:space="preserve">Oportunidad sin urgencia</t>
  </si>
  <si>
    <t xml:space="preserve">Canvas de oportunidad · Finanzas y Administración</t>
  </si>
  <si>
    <t xml:space="preserve">Documenta una oportunidad concreta en una página. Reemplaza el texto de ejemplo (en cursiva) con tu información.</t>
  </si>
  <si>
    <t xml:space="preserve">1.  Nombre del caso</t>
  </si>
  <si>
    <t xml:space="preserve">   Prompt: ≤ 8 palabras</t>
  </si>
  <si>
    <t xml:space="preserve">Ej. Conciliación bancaria automática para 3 cuentas operativas</t>
  </si>
  <si>
    <t xml:space="preserve">2.  Pain point concreto</t>
  </si>
  <si>
    <t xml:space="preserve">   Prompt: Hoy nuestro equipo financiero sufre X cuando Y</t>
  </si>
  <si>
    <t xml:space="preserve">Ej. Hoy 2 contadores invierten 6 días/mes en conciliación bancaria de 3 cuentas con ~12.000 movimientos; el cierre se retrasa al día hábil 8.</t>
  </si>
  <si>
    <t xml:space="preserve">3.  Frecuencia y volumen</t>
  </si>
  <si>
    <t xml:space="preserve">   Prompt: ¿Cuántas transacciones/cuentas/reportes afecta por mes?</t>
  </si>
  <si>
    <t xml:space="preserve">Ej. ~12.000 movimientos/mes, 3 cuentas bancarias, 2 contadores afectados.</t>
  </si>
  <si>
    <t xml:space="preserve">4.  Costo estimado del dolor</t>
  </si>
  <si>
    <t xml:space="preserve">   Prompt: USD/mes en costo directo + oportunidad perdida</t>
  </si>
  <si>
    <t xml:space="preserve">Ej. 12 días-persona/mes × USD 200 = USD 2.400/mes; cierre tardío bloquea decisiones del CFO.</t>
  </si>
  <si>
    <t xml:space="preserve">5.  KPI primario a mover</t>
  </si>
  <si>
    <t xml:space="preserve">   Prompt: Indicador concreto y dirección</t>
  </si>
  <si>
    <t xml:space="preserve">Ej. Tiempo de conciliación mensual (de 6 días a 1.5 días); % conciliado automáticamente; día de cierre.</t>
  </si>
  <si>
    <t xml:space="preserve">6.  Magnitud esperada del cambio</t>
  </si>
  <si>
    <t xml:space="preserve">   Prompt: De X a Y, en qué horizonte</t>
  </si>
  <si>
    <t xml:space="preserve">Ej. Reducir tiempo de conciliación 75% en 4 meses; ahorrar USD 1.800/mes desde el mes 3.</t>
  </si>
  <si>
    <t xml:space="preserve">7.  Datos disponibles</t>
  </si>
  <si>
    <t xml:space="preserve">   Prompt: Fuentes, volumen, calidad, brechas</t>
  </si>
  <si>
    <t xml:space="preserve">Ej. Extractos bancarios en formato OFX/CSV; ERP SAP B1 con asientos diarios; AR/AP abiertos exportables; calidad razonable.</t>
  </si>
  <si>
    <t xml:space="preserve">8.  Familia de IA hipotética</t>
  </si>
  <si>
    <t xml:space="preserve">   Prompt: Reglas / ML clásico / GenAI / Agentic / Híbrida (Módulo 4)</t>
  </si>
  <si>
    <t xml:space="preserve">Ej. Reglas + ML clásico para matching probabilístico; GenAI sólo para clasificar excepciones.</t>
  </si>
  <si>
    <t xml:space="preserve">9.  Riesgos visibles</t>
  </si>
  <si>
    <t xml:space="preserve">   Prompt: Regulatorios, técnicos, de adopción</t>
  </si>
  <si>
    <t xml:space="preserve">Ej. Trazabilidad del match para auditoría externa; revisión humana de excepciones; controles antifraude.</t>
  </si>
  <si>
    <t xml:space="preserve">10. Sponsor del caso</t>
  </si>
  <si>
    <t xml:space="preserve">   Prompt: Nombre y rol del patrocinador ejecutivo</t>
  </si>
  <si>
    <t xml:space="preserve">Ej. Controller, Andrea Martínez.</t>
  </si>
  <si>
    <t xml:space="preserve">SALIDA — Resumen del caso para Módulo 2 / 3</t>
  </si>
  <si>
    <t xml:space="preserve">Cuando completes los 10 campos, copia el contenido en la plantilla de oportunidad del Módulo 2 (cartera) y del Módulo 3 (priorización por impacto × viabilidad).</t>
  </si>
  <si>
    <t xml:space="preserve">Habilitadores pre-IA · Finance Stack Maturity</t>
  </si>
  <si>
    <t xml:space="preserve">Antes de pensar en IA, tu finanzas necesita ciertas capacidades mínimas. Marca el estado de cada habilitador: Sí · Parcial · No · No aplica.</t>
  </si>
  <si>
    <t xml:space="preserve">Habilitador</t>
  </si>
  <si>
    <t xml:space="preserve">Estado</t>
  </si>
  <si>
    <t xml:space="preserve">Comentario</t>
  </si>
  <si>
    <t xml:space="preserve">A. ERP Y SISTEMAS CONTABLES</t>
  </si>
  <si>
    <t xml:space="preserve">Tenemos ERP / sistema contable corporativo único (SAP, Oracle, NetSuite, SAP B1, Microsoft Dynamics, Siigo, Contpaqi, etc.)</t>
  </si>
  <si>
    <t xml:space="preserve">Plan de cuentas estandarizado y mantenido por finanzas central</t>
  </si>
  <si>
    <t xml:space="preserve">Centros de costo, proyectos y dimensiones contables están definidos y aplicados consistentemente</t>
  </si>
  <si>
    <t xml:space="preserve">Histórico contable de al menos 24 meses con calidad razonable</t>
  </si>
  <si>
    <t xml:space="preserve">B. DATOS BANCARIOS Y FINANCIEROS</t>
  </si>
  <si>
    <t xml:space="preserve">Conexión digital con bancos (host-to-host, API, OFX, archivos automatizados)</t>
  </si>
  <si>
    <t xml:space="preserve">Extractos bancarios diarios disponibles en formato estructurado</t>
  </si>
  <si>
    <t xml:space="preserve">Datos de AR (cuentas por cobrar) y AP (cuentas por pagar) digitales y exportables</t>
  </si>
  <si>
    <t xml:space="preserve">Datos de pagos, cobranzas y saldos accesibles fuera del ERP (data lake, datamart o BI)</t>
  </si>
  <si>
    <t xml:space="preserve">C. PROCESOS Y CONTROLES</t>
  </si>
  <si>
    <t xml:space="preserve">Calendario de cierre contable documentado y cumplido en plazos razonables</t>
  </si>
  <si>
    <t xml:space="preserve">Procesos de conciliación, devengo y cierre estandarizados (no dependientes de personas)</t>
  </si>
  <si>
    <t xml:space="preserve">Controles internos documentados (segregación de funciones, aprobaciones, dual sign)</t>
  </si>
  <si>
    <t xml:space="preserve">Auditoría externa con dictamen y observaciones bajo control</t>
  </si>
  <si>
    <t xml:space="preserve">D. REPORTES Y FP&amp;A</t>
  </si>
  <si>
    <t xml:space="preserve">Existe presupuesto anual con desagregación operativa y proceso de actualización</t>
  </si>
  <si>
    <t xml:space="preserve">Forecast rolling (mensual o trimestral) operativo, no sólo presupuesto fijo</t>
  </si>
  <si>
    <t xml:space="preserve">Reporte ejecutivo / paquete mensual estandarizado para CFO/board</t>
  </si>
  <si>
    <t xml:space="preserve">Modelo financiero o datamart con definiciones claras de KPIs financieros</t>
  </si>
  <si>
    <t xml:space="preserve">E. PROCESOS, EQUIPO Y GOBIERNO</t>
  </si>
  <si>
    <t xml:space="preserve">Hay un responsable de Finance Tech / Transformación financiera identificado</t>
  </si>
  <si>
    <t xml:space="preserve">Existe alineación operativa entre finanzas, TI y áreas de negocio</t>
  </si>
  <si>
    <t xml:space="preserve">El equipo financiero tiene capacidad mínima de prompting / uso de herramientas GenAI</t>
  </si>
  <si>
    <t xml:space="preserve">Hay política interna sobre uso responsable de IA en información financiera (cifras revisadas, trazabilidad, no alucinación)</t>
  </si>
  <si>
    <t xml:space="preserve">RESUMEN Y SCORE DE READINESS</t>
  </si>
  <si>
    <t xml:space="preserve">Habilitadores marcados "Sí":</t>
  </si>
  <si>
    <t xml:space="preserve">Parciales:</t>
  </si>
  <si>
    <t xml:space="preserve">No tenemos:</t>
  </si>
  <si>
    <t xml:space="preserve">No aplican:</t>
  </si>
  <si>
    <t xml:space="preserve">SCORE DE READINESS DE FINANZAS:</t>
  </si>
  <si>
    <t xml:space="preserve">KPIs y Targets · Finanzas y Administración</t>
  </si>
  <si>
    <t xml:space="preserve">Para cada caso de uso, define el KPI principal, su baseline (hoy), target esperado y horizonte. El uplift se calcula automáticamente. Llena las celdas Baseline / Target / Horizonte para tu caso.</t>
  </si>
  <si>
    <t xml:space="preserve">KPI principal</t>
  </si>
  <si>
    <t xml:space="preserve">Unidad</t>
  </si>
  <si>
    <t xml:space="preserve">Baseline (hoy)</t>
  </si>
  <si>
    <t xml:space="preserve">Target</t>
  </si>
  <si>
    <t xml:space="preserve">Uplift</t>
  </si>
  <si>
    <t xml:space="preserve">Horizonte (meses)</t>
  </si>
  <si>
    <t xml:space="preserve">Priorización inteligente de cobranza</t>
  </si>
  <si>
    <t xml:space="preserve">DSO (días de cobranza)</t>
  </si>
  <si>
    <t xml:space="preserve">días</t>
  </si>
  <si>
    <t xml:space="preserve">Outreach personalizado de cobranza</t>
  </si>
  <si>
    <t xml:space="preserve">Tasa de respuesta a cobranza</t>
  </si>
  <si>
    <t xml:space="preserve">%</t>
  </si>
  <si>
    <t xml:space="preserve">Predicción de probabilidad y fecha de pago</t>
  </si>
  <si>
    <t xml:space="preserve">Error de forecast de cobranza (MAPE)</t>
  </si>
  <si>
    <t xml:space="preserve">% conciliado automáticamente</t>
  </si>
  <si>
    <t xml:space="preserve">Error de forecast de cash (MAPE)</t>
  </si>
  <si>
    <t xml:space="preserve">Detección de anomalías en transacciones</t>
  </si>
  <si>
    <t xml:space="preserve">Tiempo a detección de anomalía</t>
  </si>
  <si>
    <t xml:space="preserve">Categorización automática de transacciones</t>
  </si>
  <si>
    <t xml:space="preserve">% transacciones autocodificadas</t>
  </si>
  <si>
    <t xml:space="preserve">Generación de reportes ejecutivos</t>
  </si>
  <si>
    <t xml:space="preserve">Tiempo de elaboración del paquete</t>
  </si>
  <si>
    <t xml:space="preserve">Análisis de variaciones presupuestarias</t>
  </si>
  <si>
    <t xml:space="preserve">Tiempo de análisis de variaciones</t>
  </si>
  <si>
    <t xml:space="preserve">horas</t>
  </si>
  <si>
    <t xml:space="preserve">Copiloto conversacional de FP&amp;A</t>
  </si>
  <si>
    <t xml:space="preserve">Tiempo de respuesta a preguntas ad hoc</t>
  </si>
  <si>
    <t xml:space="preserve">Comparación de cotizaciones y proveedores</t>
  </si>
  <si>
    <t xml:space="preserve">Tiempo de evaluación de cotización</t>
  </si>
  <si>
    <t xml:space="preserve">Análisis de gasto y ahorro</t>
  </si>
  <si>
    <t xml:space="preserve">Ahorro identificado sobre gasto base</t>
  </si>
  <si>
    <t xml:space="preserve">RESUMEN</t>
  </si>
  <si>
    <t xml:space="preserve">Casos con Baseline definido:</t>
  </si>
  <si>
    <t xml:space="preserve">Casos con Target definido:</t>
  </si>
  <si>
    <t xml:space="preserve">Uplift promedio (casos definidos):</t>
  </si>
  <si>
    <t xml:space="preserve">Horizonte promedio (meses):</t>
  </si>
  <si>
    <t xml:space="preserve">Nota · Las celdas de Baseline (E), Target (F), Horizonte (H) y Notas (I) son editables. El Uplift (G) se calcula automáticamente: para KPIs que se reducen (DSO, errores, tiempos) muestra el ahorro porcentual; para KPIs que aumentan (% automático, tasa de respuesta, ahorro) muestra el incremento porcentual.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</si>
</sst>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65F46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sz val="10"/>
      <color rgb="FF6B7280"/>
      <name val="Arial"/>
      <family val="0"/>
      <charset val="1"/>
    </font>
    <font>
      <i val="true"/>
      <sz val="11"/>
      <color rgb="FF37415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8EEF4"/>
        <bgColor rgb="FFFDE7E9"/>
      </patternFill>
    </fill>
    <fill>
      <patternFill patternType="solid">
        <fgColor rgb="FFD1FAE5"/>
        <bgColor rgb="FFCCFFFF"/>
      </patternFill>
    </fill>
    <fill>
      <patternFill patternType="solid">
        <fgColor rgb="FFFDE7E9"/>
        <bgColor rgb="FFE8EEF4"/>
      </patternFill>
    </fill>
    <fill>
      <patternFill patternType="solid">
        <fgColor rgb="FFFFF8DC"/>
        <bgColor rgb="FFFDE7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E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FF8D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DE7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44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30"/>
    <col collapsed="false" customWidth="true" hidden="false" outlineLevel="0" max="10" min="10" style="0" width="16"/>
    <col collapsed="false" customWidth="true" hidden="false" outlineLevel="0" max="11" min="11" style="0" width="2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1.75" hidden="false" customHeight="true" outlineLevel="0" collapsed="false">
      <c r="A5" s="4" t="s">
        <v>13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84" hidden="false" customHeight="true" outlineLevel="0" collapsed="false">
      <c r="A6" s="5" t="n">
        <v>1</v>
      </c>
      <c r="B6" s="6" t="s">
        <v>14</v>
      </c>
      <c r="C6" s="6" t="s">
        <v>15</v>
      </c>
      <c r="D6" s="6" t="s">
        <v>16</v>
      </c>
      <c r="E6" s="6" t="s">
        <v>17</v>
      </c>
      <c r="F6" s="6" t="s">
        <v>18</v>
      </c>
      <c r="G6" s="7" t="s">
        <v>19</v>
      </c>
      <c r="H6" s="5" t="n">
        <v>5</v>
      </c>
      <c r="I6" s="6" t="s">
        <v>20</v>
      </c>
    </row>
    <row r="7" customFormat="false" ht="84" hidden="false" customHeight="true" outlineLevel="0" collapsed="false">
      <c r="A7" s="5" t="n">
        <v>2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25</v>
      </c>
      <c r="G7" s="7" t="s">
        <v>19</v>
      </c>
      <c r="H7" s="5" t="n">
        <v>4</v>
      </c>
      <c r="I7" s="6" t="s">
        <v>26</v>
      </c>
    </row>
    <row r="8" customFormat="false" ht="84" hidden="false" customHeight="true" outlineLevel="0" collapsed="false">
      <c r="A8" s="5" t="n">
        <v>3</v>
      </c>
      <c r="B8" s="6" t="s">
        <v>27</v>
      </c>
      <c r="C8" s="6" t="s">
        <v>28</v>
      </c>
      <c r="D8" s="6" t="s">
        <v>16</v>
      </c>
      <c r="E8" s="6" t="s">
        <v>29</v>
      </c>
      <c r="F8" s="6" t="s">
        <v>30</v>
      </c>
      <c r="G8" s="7" t="s">
        <v>19</v>
      </c>
      <c r="H8" s="5" t="n">
        <v>5</v>
      </c>
      <c r="I8" s="6" t="s">
        <v>31</v>
      </c>
    </row>
    <row r="9" customFormat="false" ht="21.75" hidden="false" customHeight="true" outlineLevel="0" collapsed="false">
      <c r="A9" s="4" t="s">
        <v>32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customFormat="false" ht="84" hidden="false" customHeight="true" outlineLevel="0" collapsed="false">
      <c r="A10" s="5" t="n">
        <v>4</v>
      </c>
      <c r="B10" s="6" t="s">
        <v>33</v>
      </c>
      <c r="C10" s="6" t="s">
        <v>34</v>
      </c>
      <c r="D10" s="6" t="s">
        <v>35</v>
      </c>
      <c r="E10" s="6" t="s">
        <v>36</v>
      </c>
      <c r="F10" s="6" t="s">
        <v>37</v>
      </c>
      <c r="G10" s="7" t="s">
        <v>19</v>
      </c>
      <c r="H10" s="5" t="n">
        <v>5</v>
      </c>
      <c r="I10" s="6" t="s">
        <v>38</v>
      </c>
    </row>
    <row r="11" customFormat="false" ht="84" hidden="false" customHeight="true" outlineLevel="0" collapsed="false">
      <c r="A11" s="5" t="n">
        <v>5</v>
      </c>
      <c r="B11" s="6" t="s">
        <v>39</v>
      </c>
      <c r="C11" s="6" t="s">
        <v>40</v>
      </c>
      <c r="D11" s="6" t="s">
        <v>16</v>
      </c>
      <c r="E11" s="6" t="s">
        <v>41</v>
      </c>
      <c r="F11" s="6" t="s">
        <v>42</v>
      </c>
      <c r="G11" s="7" t="s">
        <v>19</v>
      </c>
      <c r="H11" s="5" t="n">
        <v>5</v>
      </c>
      <c r="I11" s="6" t="s">
        <v>43</v>
      </c>
    </row>
    <row r="12" customFormat="false" ht="84" hidden="false" customHeight="true" outlineLevel="0" collapsed="false">
      <c r="A12" s="5" t="n">
        <v>6</v>
      </c>
      <c r="B12" s="6" t="s">
        <v>44</v>
      </c>
      <c r="C12" s="6" t="s">
        <v>45</v>
      </c>
      <c r="D12" s="6" t="s">
        <v>16</v>
      </c>
      <c r="E12" s="6" t="s">
        <v>46</v>
      </c>
      <c r="F12" s="6" t="s">
        <v>47</v>
      </c>
      <c r="G12" s="7" t="s">
        <v>19</v>
      </c>
      <c r="H12" s="5" t="n">
        <v>5</v>
      </c>
      <c r="I12" s="6" t="s">
        <v>48</v>
      </c>
    </row>
    <row r="13" customFormat="false" ht="21.75" hidden="false" customHeight="true" outlineLevel="0" collapsed="false">
      <c r="A13" s="4" t="s">
        <v>49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customFormat="false" ht="84" hidden="false" customHeight="true" outlineLevel="0" collapsed="false">
      <c r="A14" s="5" t="n">
        <v>7</v>
      </c>
      <c r="B14" s="6" t="s">
        <v>50</v>
      </c>
      <c r="C14" s="6" t="s">
        <v>51</v>
      </c>
      <c r="D14" s="6" t="s">
        <v>35</v>
      </c>
      <c r="E14" s="6" t="s">
        <v>52</v>
      </c>
      <c r="F14" s="6" t="s">
        <v>53</v>
      </c>
      <c r="G14" s="7" t="s">
        <v>19</v>
      </c>
      <c r="H14" s="5" t="n">
        <v>5</v>
      </c>
      <c r="I14" s="6" t="s">
        <v>54</v>
      </c>
    </row>
    <row r="15" customFormat="false" ht="84" hidden="false" customHeight="true" outlineLevel="0" collapsed="false">
      <c r="A15" s="5" t="n">
        <v>8</v>
      </c>
      <c r="B15" s="6" t="s">
        <v>55</v>
      </c>
      <c r="C15" s="6" t="s">
        <v>56</v>
      </c>
      <c r="D15" s="6" t="s">
        <v>57</v>
      </c>
      <c r="E15" s="6" t="s">
        <v>58</v>
      </c>
      <c r="F15" s="6" t="s">
        <v>59</v>
      </c>
      <c r="G15" s="7" t="s">
        <v>19</v>
      </c>
      <c r="H15" s="5" t="n">
        <v>5</v>
      </c>
      <c r="I15" s="6" t="s">
        <v>60</v>
      </c>
    </row>
    <row r="16" customFormat="false" ht="84" hidden="false" customHeight="true" outlineLevel="0" collapsed="false">
      <c r="A16" s="5" t="n">
        <v>9</v>
      </c>
      <c r="B16" s="6" t="s">
        <v>61</v>
      </c>
      <c r="C16" s="6" t="s">
        <v>62</v>
      </c>
      <c r="D16" s="6" t="s">
        <v>63</v>
      </c>
      <c r="E16" s="6" t="s">
        <v>64</v>
      </c>
      <c r="F16" s="6" t="s">
        <v>65</v>
      </c>
      <c r="G16" s="7" t="s">
        <v>19</v>
      </c>
      <c r="H16" s="5" t="n">
        <v>4</v>
      </c>
      <c r="I16" s="6" t="s">
        <v>66</v>
      </c>
    </row>
    <row r="17" customFormat="false" ht="84" hidden="false" customHeight="true" outlineLevel="0" collapsed="false">
      <c r="A17" s="5" t="n">
        <v>10</v>
      </c>
      <c r="B17" s="6" t="s">
        <v>67</v>
      </c>
      <c r="C17" s="6" t="s">
        <v>68</v>
      </c>
      <c r="D17" s="6" t="s">
        <v>69</v>
      </c>
      <c r="E17" s="6" t="s">
        <v>70</v>
      </c>
      <c r="F17" s="6" t="s">
        <v>71</v>
      </c>
      <c r="G17" s="5" t="s">
        <v>72</v>
      </c>
      <c r="H17" s="5" t="n">
        <v>4</v>
      </c>
      <c r="I17" s="6" t="s">
        <v>73</v>
      </c>
    </row>
    <row r="18" customFormat="false" ht="21.75" hidden="false" customHeight="true" outlineLevel="0" collapsed="false">
      <c r="A18" s="4" t="s">
        <v>74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customFormat="false" ht="84" hidden="false" customHeight="true" outlineLevel="0" collapsed="false">
      <c r="A19" s="5" t="n">
        <v>11</v>
      </c>
      <c r="B19" s="6" t="s">
        <v>75</v>
      </c>
      <c r="C19" s="6" t="s">
        <v>76</v>
      </c>
      <c r="D19" s="6" t="s">
        <v>57</v>
      </c>
      <c r="E19" s="6" t="s">
        <v>77</v>
      </c>
      <c r="F19" s="6" t="s">
        <v>78</v>
      </c>
      <c r="G19" s="7" t="s">
        <v>19</v>
      </c>
      <c r="H19" s="5" t="n">
        <v>5</v>
      </c>
      <c r="I19" s="6" t="s">
        <v>79</v>
      </c>
    </row>
    <row r="20" customFormat="false" ht="84" hidden="false" customHeight="true" outlineLevel="0" collapsed="false">
      <c r="A20" s="5" t="n">
        <v>12</v>
      </c>
      <c r="B20" s="6" t="s">
        <v>80</v>
      </c>
      <c r="C20" s="6" t="s">
        <v>81</v>
      </c>
      <c r="D20" s="6" t="s">
        <v>35</v>
      </c>
      <c r="E20" s="6" t="s">
        <v>82</v>
      </c>
      <c r="F20" s="6" t="s">
        <v>83</v>
      </c>
      <c r="G20" s="5" t="s">
        <v>72</v>
      </c>
      <c r="H20" s="5" t="n">
        <v>4</v>
      </c>
      <c r="I20" s="6" t="s">
        <v>84</v>
      </c>
    </row>
    <row r="22" customFormat="false" ht="21.75" hidden="false" customHeight="true" outlineLevel="0" collapsed="false">
      <c r="A22" s="4" t="s">
        <v>85</v>
      </c>
      <c r="B22" s="4"/>
      <c r="C22" s="4"/>
      <c r="D22" s="4"/>
    </row>
    <row r="23" customFormat="false" ht="18" hidden="false" customHeight="true" outlineLevel="0" collapsed="false">
      <c r="A23" s="8" t="s">
        <v>86</v>
      </c>
      <c r="B23" s="9" t="n">
        <f aca="false">COUNTIF(J6:J8,"Sí")+COUNTIF(J10:J12,"Sí")+COUNTIF(J14:J17,"Sí")+COUNTIF(J19:J20,"Sí")</f>
        <v>0</v>
      </c>
    </row>
    <row r="24" customFormat="false" ht="18" hidden="false" customHeight="true" outlineLevel="0" collapsed="false">
      <c r="A24" s="8" t="s">
        <v>87</v>
      </c>
      <c r="B24" s="9" t="n">
        <f aca="false">COUNTIF(J6:J8,"Tal vez")+COUNTIF(J10:J12,"Tal vez")+COUNTIF(J14:J17,"Tal vez")+COUNTIF(J19:J20,"Tal vez")</f>
        <v>0</v>
      </c>
    </row>
    <row r="25" customFormat="false" ht="18" hidden="false" customHeight="true" outlineLevel="0" collapsed="false">
      <c r="A25" s="8" t="s">
        <v>88</v>
      </c>
      <c r="B25" s="9" t="n">
        <f aca="false">COUNTIF(J6:J8,"No")+COUNTIF(J10:J12,"No")+COUNTIF(J14:J17,"No")+COUNTIF(J19:J20,"No")</f>
        <v>0</v>
      </c>
    </row>
    <row r="26" customFormat="false" ht="18" hidden="false" customHeight="true" outlineLevel="0" collapsed="false">
      <c r="A26" s="8" t="s">
        <v>89</v>
      </c>
      <c r="B26" s="9" t="n">
        <f aca="false">COUNTIF(J6:J8,"Sí")+COUNTIF(J10:J12,"Sí")+COUNTIF(J14:J17,"Sí")+COUNTIF(J19:J20,"Sí")+COUNTIF(J6:J8,"Tal vez")+COUNTIF(J10:J12,"Tal vez")+COUNTIF(J14:J17,"Tal vez")+COUNTIF(J19:J20,"Tal vez")</f>
        <v>0</v>
      </c>
    </row>
    <row r="28" customFormat="false" ht="21.75" hidden="false" customHeight="true" outlineLevel="0" collapsed="false">
      <c r="A28" s="10" t="s">
        <v>90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</sheetData>
  <mergeCells count="8">
    <mergeCell ref="A1:K1"/>
    <mergeCell ref="A2:K2"/>
    <mergeCell ref="A5:K5"/>
    <mergeCell ref="A9:K9"/>
    <mergeCell ref="A13:K13"/>
    <mergeCell ref="A18:K18"/>
    <mergeCell ref="A22:D22"/>
    <mergeCell ref="A28:K28"/>
  </mergeCells>
  <dataValidations count="1">
    <dataValidation allowBlank="true" errorStyle="stop" operator="between" showDropDown="false" showErrorMessage="false" showInputMessage="false" sqref="J6:J8 J10:J12 J14:J17 J19:J20" type="list">
      <formula1>"Sí,No,Tal vez"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91</v>
      </c>
      <c r="B1" s="1"/>
      <c r="C1" s="1"/>
      <c r="D1" s="1"/>
      <c r="E1" s="1"/>
    </row>
    <row r="2" customFormat="false" ht="30" hidden="false" customHeight="true" outlineLevel="0" collapsed="false">
      <c r="A2" s="2" t="s">
        <v>92</v>
      </c>
      <c r="B2" s="2"/>
      <c r="C2" s="2"/>
      <c r="D2" s="2"/>
      <c r="E2" s="2"/>
    </row>
    <row r="4" customFormat="false" ht="15" hidden="false" customHeight="false" outlineLevel="0" collapsed="false">
      <c r="A4" s="11" t="s">
        <v>93</v>
      </c>
      <c r="B4" s="12" t="s">
        <v>94</v>
      </c>
      <c r="C4" s="12"/>
      <c r="D4" s="12"/>
      <c r="E4" s="12"/>
    </row>
    <row r="6" customFormat="false" ht="24" hidden="false" customHeight="true" outlineLevel="0" collapsed="false">
      <c r="A6" s="3" t="s">
        <v>2</v>
      </c>
      <c r="B6" s="3" t="s">
        <v>95</v>
      </c>
      <c r="C6" s="3" t="s">
        <v>96</v>
      </c>
    </row>
    <row r="8" customFormat="false" ht="21.75" hidden="false" customHeight="true" outlineLevel="0" collapsed="false">
      <c r="A8" s="13" t="s">
        <v>97</v>
      </c>
      <c r="B8" s="13"/>
      <c r="C8" s="13"/>
      <c r="D8" s="13"/>
      <c r="E8" s="13"/>
    </row>
    <row r="9" customFormat="false" ht="31.5" hidden="false" customHeight="true" outlineLevel="0" collapsed="false">
      <c r="A9" s="14" t="s">
        <v>98</v>
      </c>
      <c r="B9" s="15" t="s">
        <v>99</v>
      </c>
      <c r="C9" s="16"/>
    </row>
    <row r="10" customFormat="false" ht="31.5" hidden="false" customHeight="true" outlineLevel="0" collapsed="false">
      <c r="A10" s="14" t="s">
        <v>100</v>
      </c>
      <c r="B10" s="15" t="s">
        <v>101</v>
      </c>
      <c r="C10" s="16"/>
    </row>
    <row r="11" customFormat="false" ht="31.5" hidden="false" customHeight="true" outlineLevel="0" collapsed="false">
      <c r="A11" s="14" t="s">
        <v>102</v>
      </c>
      <c r="B11" s="15" t="s">
        <v>103</v>
      </c>
      <c r="C11" s="16"/>
    </row>
    <row r="12" customFormat="false" ht="31.5" hidden="false" customHeight="true" outlineLevel="0" collapsed="false">
      <c r="A12" s="14" t="s">
        <v>104</v>
      </c>
      <c r="B12" s="15" t="s">
        <v>105</v>
      </c>
      <c r="C12" s="16"/>
    </row>
    <row r="14" customFormat="false" ht="21.75" hidden="false" customHeight="true" outlineLevel="0" collapsed="false">
      <c r="A14" s="4" t="s">
        <v>106</v>
      </c>
      <c r="B14" s="4"/>
      <c r="C14" s="4"/>
      <c r="D14" s="4"/>
      <c r="E14" s="4"/>
    </row>
    <row r="15" customFormat="false" ht="31.5" hidden="false" customHeight="true" outlineLevel="0" collapsed="false">
      <c r="A15" s="14" t="s">
        <v>107</v>
      </c>
      <c r="B15" s="15" t="s">
        <v>108</v>
      </c>
      <c r="C15" s="16"/>
    </row>
    <row r="16" customFormat="false" ht="31.5" hidden="false" customHeight="true" outlineLevel="0" collapsed="false">
      <c r="A16" s="14" t="s">
        <v>109</v>
      </c>
      <c r="B16" s="15" t="s">
        <v>110</v>
      </c>
      <c r="C16" s="16"/>
    </row>
    <row r="17" customFormat="false" ht="31.5" hidden="false" customHeight="true" outlineLevel="0" collapsed="false">
      <c r="A17" s="14" t="s">
        <v>111</v>
      </c>
      <c r="B17" s="15" t="s">
        <v>112</v>
      </c>
      <c r="C17" s="16"/>
    </row>
    <row r="18" customFormat="false" ht="31.5" hidden="false" customHeight="true" outlineLevel="0" collapsed="false">
      <c r="A18" s="14" t="s">
        <v>113</v>
      </c>
      <c r="B18" s="15" t="s">
        <v>114</v>
      </c>
      <c r="C18" s="16"/>
    </row>
    <row r="20" customFormat="false" ht="21.75" hidden="false" customHeight="true" outlineLevel="0" collapsed="false">
      <c r="A20" s="4" t="s">
        <v>115</v>
      </c>
      <c r="B20" s="4"/>
      <c r="C20" s="4"/>
      <c r="D20" s="4"/>
      <c r="E20" s="4"/>
    </row>
    <row r="21" customFormat="false" ht="31.5" hidden="false" customHeight="true" outlineLevel="0" collapsed="false">
      <c r="A21" s="14" t="s">
        <v>116</v>
      </c>
      <c r="B21" s="15" t="s">
        <v>117</v>
      </c>
      <c r="C21" s="16"/>
    </row>
    <row r="22" customFormat="false" ht="31.5" hidden="false" customHeight="true" outlineLevel="0" collapsed="false">
      <c r="A22" s="14" t="s">
        <v>118</v>
      </c>
      <c r="B22" s="15" t="s">
        <v>119</v>
      </c>
      <c r="C22" s="16"/>
    </row>
    <row r="23" customFormat="false" ht="31.5" hidden="false" customHeight="true" outlineLevel="0" collapsed="false">
      <c r="A23" s="14" t="s">
        <v>120</v>
      </c>
      <c r="B23" s="15" t="s">
        <v>121</v>
      </c>
      <c r="C23" s="16"/>
    </row>
    <row r="24" customFormat="false" ht="31.5" hidden="false" customHeight="true" outlineLevel="0" collapsed="false">
      <c r="A24" s="14" t="s">
        <v>122</v>
      </c>
      <c r="B24" s="15" t="s">
        <v>123</v>
      </c>
      <c r="C24" s="16"/>
    </row>
    <row r="26" customFormat="false" ht="21.75" hidden="false" customHeight="true" outlineLevel="0" collapsed="false">
      <c r="A26" s="4" t="s">
        <v>124</v>
      </c>
      <c r="B26" s="4"/>
      <c r="C26" s="4"/>
      <c r="D26" s="4"/>
      <c r="E26" s="4"/>
    </row>
    <row r="27" customFormat="false" ht="31.5" hidden="false" customHeight="true" outlineLevel="0" collapsed="false">
      <c r="A27" s="14" t="s">
        <v>125</v>
      </c>
      <c r="B27" s="15" t="s">
        <v>126</v>
      </c>
      <c r="C27" s="16"/>
    </row>
    <row r="28" customFormat="false" ht="31.5" hidden="false" customHeight="true" outlineLevel="0" collapsed="false">
      <c r="A28" s="14" t="s">
        <v>127</v>
      </c>
      <c r="B28" s="15" t="s">
        <v>128</v>
      </c>
      <c r="C28" s="16"/>
    </row>
    <row r="29" customFormat="false" ht="31.5" hidden="false" customHeight="true" outlineLevel="0" collapsed="false">
      <c r="A29" s="14" t="s">
        <v>129</v>
      </c>
      <c r="B29" s="15" t="s">
        <v>130</v>
      </c>
      <c r="C29" s="16"/>
    </row>
    <row r="30" customFormat="false" ht="31.5" hidden="false" customHeight="true" outlineLevel="0" collapsed="false">
      <c r="A30" s="14" t="s">
        <v>131</v>
      </c>
      <c r="B30" s="15" t="s">
        <v>132</v>
      </c>
      <c r="C30" s="16"/>
    </row>
    <row r="32" customFormat="false" ht="24" hidden="false" customHeight="true" outlineLevel="0" collapsed="false">
      <c r="A32" s="17" t="s">
        <v>133</v>
      </c>
      <c r="B32" s="17"/>
      <c r="C32" s="17"/>
      <c r="D32" s="17"/>
      <c r="E32" s="17"/>
    </row>
    <row r="33" customFormat="false" ht="15" hidden="false" customHeight="false" outlineLevel="0" collapsed="false">
      <c r="A33" s="18" t="s">
        <v>134</v>
      </c>
      <c r="B33" s="18"/>
      <c r="C33" s="14" t="n">
        <f aca="false">IFERROR(AVERAGE(C9:C12),0)</f>
        <v>0</v>
      </c>
      <c r="D33" s="19" t="str">
        <f aca="false">IF(C33=0,"Sin datos",IF(C33&gt;=3.5,"Pain ALTO",IF(C33&gt;=2.5,"Pain MEDIO","Pain BAJO")))</f>
        <v>Sin datos</v>
      </c>
      <c r="E33" s="19"/>
    </row>
    <row r="34" customFormat="false" ht="15" hidden="false" customHeight="false" outlineLevel="0" collapsed="false">
      <c r="A34" s="18" t="s">
        <v>135</v>
      </c>
      <c r="B34" s="18"/>
      <c r="C34" s="14" t="n">
        <f aca="false">IFERROR(AVERAGE(C15:C18,C21:C24,C27:C30),0)</f>
        <v>0</v>
      </c>
      <c r="D34" s="19" t="str">
        <f aca="false">IF(C34=0,"Sin datos",IF(C34&gt;=3.5,"Readiness ALTA",IF(C34&gt;=2.5,"Readiness MEDIA","Readiness BAJA")))</f>
        <v>Sin datos</v>
      </c>
      <c r="E34" s="19"/>
    </row>
    <row r="36" customFormat="false" ht="24" hidden="false" customHeight="true" outlineLevel="0" collapsed="false">
      <c r="A36" s="20" t="s">
        <v>136</v>
      </c>
      <c r="B36" s="21" t="str">
        <f aca="false">IF(OR(C33=0,C34=0),"Completa primero el cuestionario",IF(AND(C33&gt;=3.5,C34&gt;=3.5),"QUICK WIN PRIORITARIO — Avanzar ahora",IF(AND(C33&gt;=3.5,C34&lt;3.5),"INVERTIR EN HABILITADORES — Pain alto pero falta readiness",IF(AND(C33&lt;3.5,C34&gt;=3.5),"OPORTUNIDAD SIN URGENCIA — Capacidad sí, pain no","AÚN NO ES MOMENTO — Construir capacidad antes"))))</f>
        <v>Completa primero el cuestionario</v>
      </c>
      <c r="C36" s="21"/>
      <c r="D36" s="21"/>
      <c r="E36" s="21"/>
    </row>
    <row r="39" customFormat="false" ht="15" hidden="false" customHeight="false" outlineLevel="0" collapsed="false">
      <c r="A39" s="22" t="s">
        <v>137</v>
      </c>
    </row>
    <row r="40" customFormat="false" ht="15" hidden="false" customHeight="false" outlineLevel="0" collapsed="false">
      <c r="A40" s="22" t="s">
        <v>138</v>
      </c>
      <c r="B40" s="23" t="n">
        <f aca="false">IFERROR(AVERAGE(C9:C12),0)</f>
        <v>0</v>
      </c>
    </row>
    <row r="41" customFormat="false" ht="15" hidden="false" customHeight="false" outlineLevel="0" collapsed="false">
      <c r="A41" s="22" t="s">
        <v>139</v>
      </c>
      <c r="B41" s="23" t="n">
        <f aca="false">IFERROR(AVERAGE(C15:C18),0)</f>
        <v>0</v>
      </c>
    </row>
    <row r="42" customFormat="false" ht="15" hidden="false" customHeight="false" outlineLevel="0" collapsed="false">
      <c r="A42" s="22" t="s">
        <v>140</v>
      </c>
      <c r="B42" s="23" t="n">
        <f aca="false">IFERROR(AVERAGE(C21:C24),0)</f>
        <v>0</v>
      </c>
    </row>
    <row r="43" customFormat="false" ht="15" hidden="false" customHeight="false" outlineLevel="0" collapsed="false">
      <c r="A43" s="22" t="s">
        <v>141</v>
      </c>
      <c r="B43" s="23" t="n">
        <f aca="false">IFERROR(AVERAGE(C27:C30),0)</f>
        <v>0</v>
      </c>
    </row>
    <row r="46" customFormat="false" ht="21.75" hidden="false" customHeight="true" outlineLevel="0" collapsed="false">
      <c r="A46" s="17" t="s">
        <v>142</v>
      </c>
      <c r="B46" s="17"/>
      <c r="C46" s="17"/>
      <c r="D46" s="17"/>
      <c r="E46" s="17"/>
    </row>
    <row r="47" customFormat="false" ht="26.85" hidden="false" customHeight="false" outlineLevel="0" collapsed="false">
      <c r="B47" s="14" t="s">
        <v>143</v>
      </c>
      <c r="C47" s="14" t="s">
        <v>144</v>
      </c>
    </row>
    <row r="48" customFormat="false" ht="52.2" hidden="false" customHeight="false" outlineLevel="0" collapsed="false">
      <c r="A48" s="3" t="s">
        <v>145</v>
      </c>
      <c r="B48" s="24" t="s">
        <v>146</v>
      </c>
      <c r="C48" s="3" t="s">
        <v>147</v>
      </c>
    </row>
    <row r="49" customFormat="false" ht="52.2" hidden="false" customHeight="false" outlineLevel="0" collapsed="false">
      <c r="A49" s="3" t="s">
        <v>148</v>
      </c>
      <c r="B49" s="24" t="s">
        <v>149</v>
      </c>
      <c r="C49" s="24" t="s">
        <v>150</v>
      </c>
    </row>
  </sheetData>
  <mergeCells count="14">
    <mergeCell ref="A1:E1"/>
    <mergeCell ref="A2:E2"/>
    <mergeCell ref="B4:E4"/>
    <mergeCell ref="A8:E8"/>
    <mergeCell ref="A14:E14"/>
    <mergeCell ref="A20:E20"/>
    <mergeCell ref="A26:E26"/>
    <mergeCell ref="A32:E32"/>
    <mergeCell ref="A33:B33"/>
    <mergeCell ref="D33:E33"/>
    <mergeCell ref="A34:B34"/>
    <mergeCell ref="D34:E34"/>
    <mergeCell ref="B36:E36"/>
    <mergeCell ref="A46:E46"/>
  </mergeCells>
  <dataValidations count="1">
    <dataValidation allowBlank="true" errorStyle="stop" operator="between" showDropDown="false" showErrorMessage="false" showInputMessage="false" sqref="C9:C12 C15:C18 C21:C24 C27:C3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8"/>
  </cols>
  <sheetData>
    <row r="1" customFormat="false" ht="27.75" hidden="false" customHeight="true" outlineLevel="0" collapsed="false">
      <c r="A1" s="1" t="s">
        <v>151</v>
      </c>
      <c r="B1" s="1"/>
      <c r="C1" s="1"/>
      <c r="D1" s="1"/>
    </row>
    <row r="2" customFormat="false" ht="30" hidden="false" customHeight="true" outlineLevel="0" collapsed="false">
      <c r="A2" s="2" t="s">
        <v>152</v>
      </c>
      <c r="B2" s="2"/>
      <c r="C2" s="2"/>
      <c r="D2" s="2"/>
    </row>
    <row r="4" customFormat="false" ht="21.75" hidden="false" customHeight="true" outlineLevel="0" collapsed="false">
      <c r="A4" s="4" t="s">
        <v>153</v>
      </c>
      <c r="B4" s="4"/>
      <c r="C4" s="4"/>
      <c r="D4" s="4"/>
    </row>
    <row r="5" customFormat="false" ht="15" hidden="false" customHeight="true" outlineLevel="0" collapsed="false">
      <c r="A5" s="25" t="s">
        <v>154</v>
      </c>
      <c r="B5" s="25"/>
      <c r="C5" s="25"/>
      <c r="D5" s="25"/>
    </row>
    <row r="6" customFormat="false" ht="36" hidden="false" customHeight="true" outlineLevel="0" collapsed="false">
      <c r="A6" s="26" t="s">
        <v>155</v>
      </c>
      <c r="B6" s="26"/>
      <c r="C6" s="26"/>
      <c r="D6" s="26"/>
    </row>
    <row r="7" customFormat="false" ht="21.75" hidden="false" customHeight="true" outlineLevel="0" collapsed="false">
      <c r="A7" s="4" t="s">
        <v>156</v>
      </c>
      <c r="B7" s="4"/>
      <c r="C7" s="4"/>
      <c r="D7" s="4"/>
    </row>
    <row r="8" customFormat="false" ht="15" hidden="false" customHeight="true" outlineLevel="0" collapsed="false">
      <c r="A8" s="25" t="s">
        <v>157</v>
      </c>
      <c r="B8" s="25"/>
      <c r="C8" s="25"/>
      <c r="D8" s="25"/>
    </row>
    <row r="9" customFormat="false" ht="36" hidden="false" customHeight="true" outlineLevel="0" collapsed="false">
      <c r="A9" s="26" t="s">
        <v>158</v>
      </c>
      <c r="B9" s="26"/>
      <c r="C9" s="26"/>
      <c r="D9" s="26"/>
    </row>
    <row r="10" customFormat="false" ht="21.75" hidden="false" customHeight="true" outlineLevel="0" collapsed="false">
      <c r="A10" s="4" t="s">
        <v>159</v>
      </c>
      <c r="B10" s="4"/>
      <c r="C10" s="4"/>
      <c r="D10" s="4"/>
    </row>
    <row r="11" customFormat="false" ht="15" hidden="false" customHeight="true" outlineLevel="0" collapsed="false">
      <c r="A11" s="25" t="s">
        <v>160</v>
      </c>
      <c r="B11" s="25"/>
      <c r="C11" s="25"/>
      <c r="D11" s="25"/>
    </row>
    <row r="12" customFormat="false" ht="36" hidden="false" customHeight="true" outlineLevel="0" collapsed="false">
      <c r="A12" s="26" t="s">
        <v>161</v>
      </c>
      <c r="B12" s="26"/>
      <c r="C12" s="26"/>
      <c r="D12" s="26"/>
    </row>
    <row r="13" customFormat="false" ht="21.75" hidden="false" customHeight="true" outlineLevel="0" collapsed="false">
      <c r="A13" s="4" t="s">
        <v>162</v>
      </c>
      <c r="B13" s="4"/>
      <c r="C13" s="4"/>
      <c r="D13" s="4"/>
    </row>
    <row r="14" customFormat="false" ht="15" hidden="false" customHeight="true" outlineLevel="0" collapsed="false">
      <c r="A14" s="25" t="s">
        <v>163</v>
      </c>
      <c r="B14" s="25"/>
      <c r="C14" s="25"/>
      <c r="D14" s="25"/>
    </row>
    <row r="15" customFormat="false" ht="36" hidden="false" customHeight="true" outlineLevel="0" collapsed="false">
      <c r="A15" s="26" t="s">
        <v>164</v>
      </c>
      <c r="B15" s="26"/>
      <c r="C15" s="26"/>
      <c r="D15" s="26"/>
    </row>
    <row r="16" customFormat="false" ht="21.75" hidden="false" customHeight="true" outlineLevel="0" collapsed="false">
      <c r="A16" s="4" t="s">
        <v>165</v>
      </c>
      <c r="B16" s="4"/>
      <c r="C16" s="4"/>
      <c r="D16" s="4"/>
    </row>
    <row r="17" customFormat="false" ht="15" hidden="false" customHeight="true" outlineLevel="0" collapsed="false">
      <c r="A17" s="25" t="s">
        <v>166</v>
      </c>
      <c r="B17" s="25"/>
      <c r="C17" s="25"/>
      <c r="D17" s="25"/>
    </row>
    <row r="18" customFormat="false" ht="36" hidden="false" customHeight="true" outlineLevel="0" collapsed="false">
      <c r="A18" s="26" t="s">
        <v>167</v>
      </c>
      <c r="B18" s="26"/>
      <c r="C18" s="26"/>
      <c r="D18" s="26"/>
    </row>
    <row r="19" customFormat="false" ht="21.75" hidden="false" customHeight="true" outlineLevel="0" collapsed="false">
      <c r="A19" s="4" t="s">
        <v>168</v>
      </c>
      <c r="B19" s="4"/>
      <c r="C19" s="4"/>
      <c r="D19" s="4"/>
    </row>
    <row r="20" customFormat="false" ht="15" hidden="false" customHeight="true" outlineLevel="0" collapsed="false">
      <c r="A20" s="25" t="s">
        <v>169</v>
      </c>
      <c r="B20" s="25"/>
      <c r="C20" s="25"/>
      <c r="D20" s="25"/>
    </row>
    <row r="21" customFormat="false" ht="36" hidden="false" customHeight="true" outlineLevel="0" collapsed="false">
      <c r="A21" s="26" t="s">
        <v>170</v>
      </c>
      <c r="B21" s="26"/>
      <c r="C21" s="26"/>
      <c r="D21" s="26"/>
    </row>
    <row r="22" customFormat="false" ht="21.75" hidden="false" customHeight="true" outlineLevel="0" collapsed="false">
      <c r="A22" s="4" t="s">
        <v>171</v>
      </c>
      <c r="B22" s="4"/>
      <c r="C22" s="4"/>
      <c r="D22" s="4"/>
    </row>
    <row r="23" customFormat="false" ht="15" hidden="false" customHeight="true" outlineLevel="0" collapsed="false">
      <c r="A23" s="25" t="s">
        <v>172</v>
      </c>
      <c r="B23" s="25"/>
      <c r="C23" s="25"/>
      <c r="D23" s="25"/>
    </row>
    <row r="24" customFormat="false" ht="36" hidden="false" customHeight="true" outlineLevel="0" collapsed="false">
      <c r="A24" s="26" t="s">
        <v>173</v>
      </c>
      <c r="B24" s="26"/>
      <c r="C24" s="26"/>
      <c r="D24" s="26"/>
    </row>
    <row r="25" customFormat="false" ht="21.75" hidden="false" customHeight="true" outlineLevel="0" collapsed="false">
      <c r="A25" s="4" t="s">
        <v>174</v>
      </c>
      <c r="B25" s="4"/>
      <c r="C25" s="4"/>
      <c r="D25" s="4"/>
    </row>
    <row r="26" customFormat="false" ht="15" hidden="false" customHeight="true" outlineLevel="0" collapsed="false">
      <c r="A26" s="25" t="s">
        <v>175</v>
      </c>
      <c r="B26" s="25"/>
      <c r="C26" s="25"/>
      <c r="D26" s="25"/>
    </row>
    <row r="27" customFormat="false" ht="36" hidden="false" customHeight="true" outlineLevel="0" collapsed="false">
      <c r="A27" s="26" t="s">
        <v>176</v>
      </c>
      <c r="B27" s="26"/>
      <c r="C27" s="26"/>
      <c r="D27" s="26"/>
    </row>
    <row r="28" customFormat="false" ht="21.75" hidden="false" customHeight="true" outlineLevel="0" collapsed="false">
      <c r="A28" s="4" t="s">
        <v>177</v>
      </c>
      <c r="B28" s="4"/>
      <c r="C28" s="4"/>
      <c r="D28" s="4"/>
    </row>
    <row r="29" customFormat="false" ht="15" hidden="false" customHeight="true" outlineLevel="0" collapsed="false">
      <c r="A29" s="25" t="s">
        <v>178</v>
      </c>
      <c r="B29" s="25"/>
      <c r="C29" s="25"/>
      <c r="D29" s="25"/>
    </row>
    <row r="30" customFormat="false" ht="36" hidden="false" customHeight="true" outlineLevel="0" collapsed="false">
      <c r="A30" s="26" t="s">
        <v>179</v>
      </c>
      <c r="B30" s="26"/>
      <c r="C30" s="26"/>
      <c r="D30" s="26"/>
    </row>
    <row r="31" customFormat="false" ht="21.75" hidden="false" customHeight="true" outlineLevel="0" collapsed="false">
      <c r="A31" s="4" t="s">
        <v>180</v>
      </c>
      <c r="B31" s="4"/>
      <c r="C31" s="4"/>
      <c r="D31" s="4"/>
    </row>
    <row r="32" customFormat="false" ht="15" hidden="false" customHeight="true" outlineLevel="0" collapsed="false">
      <c r="A32" s="25" t="s">
        <v>181</v>
      </c>
      <c r="B32" s="25"/>
      <c r="C32" s="25"/>
      <c r="D32" s="25"/>
    </row>
    <row r="33" customFormat="false" ht="36" hidden="false" customHeight="true" outlineLevel="0" collapsed="false">
      <c r="A33" s="26" t="s">
        <v>182</v>
      </c>
      <c r="B33" s="26"/>
      <c r="C33" s="26"/>
      <c r="D33" s="26"/>
    </row>
    <row r="35" customFormat="false" ht="21.75" hidden="false" customHeight="true" outlineLevel="0" collapsed="false">
      <c r="A35" s="17" t="s">
        <v>183</v>
      </c>
      <c r="B35" s="17"/>
      <c r="C35" s="17"/>
      <c r="D35" s="17"/>
    </row>
    <row r="36" customFormat="false" ht="36" hidden="false" customHeight="true" outlineLevel="0" collapsed="false">
      <c r="A36" s="27" t="s">
        <v>184</v>
      </c>
      <c r="B36" s="27"/>
      <c r="C36" s="27"/>
      <c r="D36" s="27"/>
    </row>
  </sheetData>
  <mergeCells count="34">
    <mergeCell ref="A1:D1"/>
    <mergeCell ref="A2:D2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5:D35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4"/>
  </cols>
  <sheetData>
    <row r="1" customFormat="false" ht="27.75" hidden="false" customHeight="true" outlineLevel="0" collapsed="false">
      <c r="A1" s="1" t="s">
        <v>185</v>
      </c>
      <c r="B1" s="1"/>
      <c r="C1" s="1"/>
      <c r="D1" s="1"/>
    </row>
    <row r="2" customFormat="false" ht="30" hidden="false" customHeight="true" outlineLevel="0" collapsed="false">
      <c r="A2" s="2" t="s">
        <v>186</v>
      </c>
      <c r="B2" s="2"/>
      <c r="C2" s="2"/>
      <c r="D2" s="2"/>
    </row>
    <row r="4" customFormat="false" ht="24" hidden="false" customHeight="true" outlineLevel="0" collapsed="false">
      <c r="A4" s="3" t="s">
        <v>187</v>
      </c>
      <c r="B4" s="3" t="s">
        <v>188</v>
      </c>
      <c r="C4" s="3" t="s">
        <v>189</v>
      </c>
    </row>
    <row r="5" customFormat="false" ht="21.75" hidden="false" customHeight="true" outlineLevel="0" collapsed="false">
      <c r="A5" s="4" t="s">
        <v>190</v>
      </c>
      <c r="B5" s="4"/>
      <c r="C5" s="4"/>
      <c r="D5" s="28"/>
    </row>
    <row r="6" customFormat="false" ht="27.75" hidden="false" customHeight="true" outlineLevel="0" collapsed="false">
      <c r="A6" s="29" t="s">
        <v>191</v>
      </c>
      <c r="B6" s="16"/>
      <c r="C6" s="29"/>
    </row>
    <row r="7" customFormat="false" ht="27.75" hidden="false" customHeight="true" outlineLevel="0" collapsed="false">
      <c r="A7" s="29" t="s">
        <v>192</v>
      </c>
      <c r="B7" s="16"/>
      <c r="C7" s="29"/>
    </row>
    <row r="8" customFormat="false" ht="27.75" hidden="false" customHeight="true" outlineLevel="0" collapsed="false">
      <c r="A8" s="29" t="s">
        <v>193</v>
      </c>
      <c r="B8" s="16"/>
      <c r="C8" s="29"/>
    </row>
    <row r="9" customFormat="false" ht="27.75" hidden="false" customHeight="true" outlineLevel="0" collapsed="false">
      <c r="A9" s="29" t="s">
        <v>194</v>
      </c>
      <c r="B9" s="16"/>
      <c r="C9" s="29"/>
    </row>
    <row r="10" customFormat="false" ht="21.75" hidden="false" customHeight="true" outlineLevel="0" collapsed="false">
      <c r="A10" s="4" t="s">
        <v>195</v>
      </c>
      <c r="B10" s="4"/>
      <c r="C10" s="4"/>
      <c r="D10" s="28"/>
    </row>
    <row r="11" customFormat="false" ht="27.75" hidden="false" customHeight="true" outlineLevel="0" collapsed="false">
      <c r="A11" s="29" t="s">
        <v>196</v>
      </c>
      <c r="B11" s="16"/>
      <c r="C11" s="29"/>
    </row>
    <row r="12" customFormat="false" ht="27.75" hidden="false" customHeight="true" outlineLevel="0" collapsed="false">
      <c r="A12" s="29" t="s">
        <v>197</v>
      </c>
      <c r="B12" s="16"/>
      <c r="C12" s="29"/>
    </row>
    <row r="13" customFormat="false" ht="27.75" hidden="false" customHeight="true" outlineLevel="0" collapsed="false">
      <c r="A13" s="29" t="s">
        <v>198</v>
      </c>
      <c r="B13" s="16"/>
      <c r="C13" s="29"/>
    </row>
    <row r="14" customFormat="false" ht="27.75" hidden="false" customHeight="true" outlineLevel="0" collapsed="false">
      <c r="A14" s="29" t="s">
        <v>199</v>
      </c>
      <c r="B14" s="16"/>
      <c r="C14" s="29"/>
    </row>
    <row r="15" customFormat="false" ht="21.75" hidden="false" customHeight="true" outlineLevel="0" collapsed="false">
      <c r="A15" s="4" t="s">
        <v>200</v>
      </c>
      <c r="B15" s="4"/>
      <c r="C15" s="4"/>
      <c r="D15" s="28"/>
    </row>
    <row r="16" customFormat="false" ht="27.75" hidden="false" customHeight="true" outlineLevel="0" collapsed="false">
      <c r="A16" s="29" t="s">
        <v>201</v>
      </c>
      <c r="B16" s="16"/>
      <c r="C16" s="29"/>
    </row>
    <row r="17" customFormat="false" ht="27.75" hidden="false" customHeight="true" outlineLevel="0" collapsed="false">
      <c r="A17" s="29" t="s">
        <v>202</v>
      </c>
      <c r="B17" s="16"/>
      <c r="C17" s="29"/>
    </row>
    <row r="18" customFormat="false" ht="27.75" hidden="false" customHeight="true" outlineLevel="0" collapsed="false">
      <c r="A18" s="29" t="s">
        <v>203</v>
      </c>
      <c r="B18" s="16"/>
      <c r="C18" s="29"/>
    </row>
    <row r="19" customFormat="false" ht="27.75" hidden="false" customHeight="true" outlineLevel="0" collapsed="false">
      <c r="A19" s="29" t="s">
        <v>204</v>
      </c>
      <c r="B19" s="16"/>
      <c r="C19" s="29"/>
    </row>
    <row r="20" customFormat="false" ht="21.75" hidden="false" customHeight="true" outlineLevel="0" collapsed="false">
      <c r="A20" s="4" t="s">
        <v>205</v>
      </c>
      <c r="B20" s="4"/>
      <c r="C20" s="4"/>
      <c r="D20" s="28"/>
    </row>
    <row r="21" customFormat="false" ht="27.75" hidden="false" customHeight="true" outlineLevel="0" collapsed="false">
      <c r="A21" s="29" t="s">
        <v>206</v>
      </c>
      <c r="B21" s="16"/>
      <c r="C21" s="29"/>
    </row>
    <row r="22" customFormat="false" ht="27.75" hidden="false" customHeight="true" outlineLevel="0" collapsed="false">
      <c r="A22" s="29" t="s">
        <v>207</v>
      </c>
      <c r="B22" s="16"/>
      <c r="C22" s="29"/>
    </row>
    <row r="23" customFormat="false" ht="27.75" hidden="false" customHeight="true" outlineLevel="0" collapsed="false">
      <c r="A23" s="29" t="s">
        <v>208</v>
      </c>
      <c r="B23" s="16"/>
      <c r="C23" s="29"/>
    </row>
    <row r="24" customFormat="false" ht="27.75" hidden="false" customHeight="true" outlineLevel="0" collapsed="false">
      <c r="A24" s="29" t="s">
        <v>209</v>
      </c>
      <c r="B24" s="16"/>
      <c r="C24" s="29"/>
    </row>
    <row r="25" customFormat="false" ht="21.75" hidden="false" customHeight="true" outlineLevel="0" collapsed="false">
      <c r="A25" s="4" t="s">
        <v>210</v>
      </c>
      <c r="B25" s="4"/>
      <c r="C25" s="4"/>
      <c r="D25" s="28"/>
    </row>
    <row r="26" customFormat="false" ht="27.75" hidden="false" customHeight="true" outlineLevel="0" collapsed="false">
      <c r="A26" s="29" t="s">
        <v>211</v>
      </c>
      <c r="B26" s="16"/>
      <c r="C26" s="29"/>
    </row>
    <row r="27" customFormat="false" ht="27.75" hidden="false" customHeight="true" outlineLevel="0" collapsed="false">
      <c r="A27" s="29" t="s">
        <v>212</v>
      </c>
      <c r="B27" s="16"/>
      <c r="C27" s="29"/>
    </row>
    <row r="28" customFormat="false" ht="27.75" hidden="false" customHeight="true" outlineLevel="0" collapsed="false">
      <c r="A28" s="29" t="s">
        <v>213</v>
      </c>
      <c r="B28" s="16"/>
      <c r="C28" s="29"/>
    </row>
    <row r="29" customFormat="false" ht="27.75" hidden="false" customHeight="true" outlineLevel="0" collapsed="false">
      <c r="A29" s="29" t="s">
        <v>214</v>
      </c>
      <c r="B29" s="16"/>
      <c r="C29" s="29"/>
    </row>
    <row r="31" customFormat="false" ht="24" hidden="false" customHeight="true" outlineLevel="0" collapsed="false">
      <c r="A31" s="17" t="s">
        <v>215</v>
      </c>
      <c r="B31" s="17"/>
      <c r="C31" s="17"/>
      <c r="D31" s="28"/>
    </row>
    <row r="32" customFormat="false" ht="15" hidden="false" customHeight="false" outlineLevel="0" collapsed="false">
      <c r="A32" s="11" t="s">
        <v>216</v>
      </c>
      <c r="B32" s="14" t="n">
        <f aca="false">COUNTIF(B6:B9,"Sí")+COUNTIF(B11:B14,"Sí")+COUNTIF(B16:B19,"Sí")+COUNTIF(B21:B24,"Sí")+COUNTIF(B26:B29,"Sí")</f>
        <v>0</v>
      </c>
    </row>
    <row r="33" customFormat="false" ht="15" hidden="false" customHeight="false" outlineLevel="0" collapsed="false">
      <c r="A33" s="11" t="s">
        <v>217</v>
      </c>
      <c r="B33" s="14" t="n">
        <f aca="false">COUNTIF(B6:B9,"Parcial")+COUNTIF(B11:B14,"Parcial")+COUNTIF(B16:B19,"Parcial")+COUNTIF(B21:B24,"Parcial")+COUNTIF(B26:B29,"Parcial")</f>
        <v>0</v>
      </c>
    </row>
    <row r="34" customFormat="false" ht="15" hidden="false" customHeight="false" outlineLevel="0" collapsed="false">
      <c r="A34" s="11" t="s">
        <v>218</v>
      </c>
      <c r="B34" s="14" t="n">
        <f aca="false">COUNTIF(B6:B9,"No")+COUNTIF(B11:B14,"No")+COUNTIF(B16:B19,"No")+COUNTIF(B21:B24,"No")+COUNTIF(B26:B29,"No")</f>
        <v>0</v>
      </c>
    </row>
    <row r="35" customFormat="false" ht="15" hidden="false" customHeight="false" outlineLevel="0" collapsed="false">
      <c r="A35" s="11" t="s">
        <v>219</v>
      </c>
      <c r="B35" s="14" t="n">
        <f aca="false">COUNTIF(B6:B9,"No aplica")+COUNTIF(B11:B14,"No aplica")+COUNTIF(B16:B19,"No aplica")+COUNTIF(B21:B24,"No aplica")+COUNTIF(B26:B29,"No aplica")</f>
        <v>0</v>
      </c>
    </row>
    <row r="37" customFormat="false" ht="16.15" hidden="false" customHeight="false" outlineLevel="0" collapsed="false">
      <c r="A37" s="20" t="s">
        <v>220</v>
      </c>
      <c r="B37" s="30" t="n">
        <f aca="false">IFERROR(((COUNTIF(B6:B9,"Sí")+COUNTIF(B11:B14,"Sí")+COUNTIF(B16:B19,"Sí")+COUNTIF(B21:B24,"Sí")+COUNTIF(B26:B29,"Sí"))+(COUNTIF(B6:B9,"Parcial")+COUNTIF(B11:B14,"Parcial")+COUNTIF(B16:B19,"Parcial")+COUNTIF(B21:B24,"Parcial")+COUNTIF(B26:B29,"Parcial"))*0.5)/((COUNTIF(B6:B9,"Sí")+COUNTIF(B11:B14,"Sí")+COUNTIF(B16:B19,"Sí")+COUNTIF(B21:B24,"Sí")+COUNTIF(B26:B29,"Sí"))+(COUNTIF(B6:B9,"Parcial")+COUNTIF(B11:B14,"Parcial")+COUNTIF(B16:B19,"Parcial")+COUNTIF(B21:B24,"Parcial")+COUNTIF(B26:B29,"Parcial"))+(COUNTIF(B6:B9,"No")+COUNTIF(B11:B14,"No")+COUNTIF(B16:B19,"No")+COUNTIF(B21:B24,"No")+COUNTIF(B26:B29,"No"))),0)</f>
        <v>0</v>
      </c>
    </row>
    <row r="39" customFormat="false" ht="36" hidden="false" customHeight="true" outlineLevel="0" collapsed="false">
      <c r="A39" s="20" t="s">
        <v>136</v>
      </c>
      <c r="B39" s="21" t="str">
        <f aca="false">IF(((COUNTIF(B6:B9,"Sí")+COUNTIF(B11:B14,"Sí")+COUNTIF(B16:B19,"Sí")+COUNTIF(B21:B24,"Sí")+COUNTIF(B26:B29,"Sí"))+(COUNTIF(B6:B9,"Parcial")+COUNTIF(B11:B14,"Parcial")+COUNTIF(B16:B19,"Parcial")+COUNTIF(B21:B24,"Parcial")+COUNTIF(B26:B29,"Parcial"))+(COUNTIF(B6:B9,"No")+COUNTIF(B11:B14,"No")+COUNTIF(B16:B19,"No")+COUNTIF(B21:B24,"No")+COUNTIF(B26:B29,"No")))=0,"Completa los habilitadores",IF(B37&gt;=0.7,"READY — Avanzar a casos GenAI/ML con confianza",IF(B37&gt;=0.4,"PARCIALMENTE READY — Empezar por Quick Wins de GenAI","NO READY — Invertir 3-6 meses en habilitadores antes de IA")))</f>
        <v>Completa los habilitadores</v>
      </c>
      <c r="C39" s="21"/>
      <c r="D39" s="21"/>
    </row>
  </sheetData>
  <mergeCells count="9">
    <mergeCell ref="A1:D1"/>
    <mergeCell ref="A2:D2"/>
    <mergeCell ref="A5:C5"/>
    <mergeCell ref="A10:C10"/>
    <mergeCell ref="A15:C15"/>
    <mergeCell ref="A20:C20"/>
    <mergeCell ref="A25:C25"/>
    <mergeCell ref="A31:C31"/>
    <mergeCell ref="B39:D39"/>
  </mergeCells>
  <dataValidations count="1">
    <dataValidation allowBlank="true" errorStyle="stop" operator="between" showDropDown="false" showErrorMessage="false" showInputMessage="false" sqref="B6:B9 B11:B14 B16:B19 B21:B24 B26:B29" type="list">
      <formula1>"Sí,Parcial,No,No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8" min="7" style="0" width="14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1" t="s">
        <v>221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222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223</v>
      </c>
      <c r="D4" s="3" t="s">
        <v>224</v>
      </c>
      <c r="E4" s="3" t="s">
        <v>225</v>
      </c>
      <c r="F4" s="3" t="s">
        <v>226</v>
      </c>
      <c r="G4" s="3" t="s">
        <v>227</v>
      </c>
      <c r="H4" s="3" t="s">
        <v>228</v>
      </c>
      <c r="I4" s="3" t="s">
        <v>12</v>
      </c>
    </row>
    <row r="5" customFormat="false" ht="30" hidden="false" customHeight="true" outlineLevel="0" collapsed="false">
      <c r="A5" s="16" t="n">
        <v>1</v>
      </c>
      <c r="B5" s="6" t="s">
        <v>229</v>
      </c>
      <c r="C5" s="6" t="s">
        <v>230</v>
      </c>
      <c r="D5" s="5" t="s">
        <v>231</v>
      </c>
      <c r="E5" s="16"/>
      <c r="F5" s="16"/>
      <c r="G5" s="31" t="str">
        <f aca="false">IFERROR((E5-F5)/E5,"")</f>
        <v/>
      </c>
      <c r="H5" s="16"/>
      <c r="I5" s="6"/>
    </row>
    <row r="6" customFormat="false" ht="30" hidden="false" customHeight="true" outlineLevel="0" collapsed="false">
      <c r="A6" s="16" t="n">
        <v>2</v>
      </c>
      <c r="B6" s="6" t="s">
        <v>232</v>
      </c>
      <c r="C6" s="6" t="s">
        <v>233</v>
      </c>
      <c r="D6" s="5" t="s">
        <v>234</v>
      </c>
      <c r="E6" s="16"/>
      <c r="F6" s="16"/>
      <c r="G6" s="31" t="str">
        <f aca="false">IFERROR((F6-E6)/E6,"")</f>
        <v/>
      </c>
      <c r="H6" s="16"/>
      <c r="I6" s="6"/>
    </row>
    <row r="7" customFormat="false" ht="30" hidden="false" customHeight="true" outlineLevel="0" collapsed="false">
      <c r="A7" s="16" t="n">
        <v>3</v>
      </c>
      <c r="B7" s="6" t="s">
        <v>235</v>
      </c>
      <c r="C7" s="6" t="s">
        <v>236</v>
      </c>
      <c r="D7" s="5" t="s">
        <v>234</v>
      </c>
      <c r="E7" s="16"/>
      <c r="F7" s="16"/>
      <c r="G7" s="31" t="str">
        <f aca="false">IFERROR((E7-F7)/E7,"")</f>
        <v/>
      </c>
      <c r="H7" s="16"/>
      <c r="I7" s="6"/>
    </row>
    <row r="8" customFormat="false" ht="30" hidden="false" customHeight="true" outlineLevel="0" collapsed="false">
      <c r="A8" s="16" t="n">
        <v>4</v>
      </c>
      <c r="B8" s="6" t="s">
        <v>33</v>
      </c>
      <c r="C8" s="6" t="s">
        <v>237</v>
      </c>
      <c r="D8" s="5" t="s">
        <v>234</v>
      </c>
      <c r="E8" s="16"/>
      <c r="F8" s="16"/>
      <c r="G8" s="31" t="str">
        <f aca="false">IFERROR((F8-E8)/E8,"")</f>
        <v/>
      </c>
      <c r="H8" s="16"/>
      <c r="I8" s="6"/>
    </row>
    <row r="9" customFormat="false" ht="30" hidden="false" customHeight="true" outlineLevel="0" collapsed="false">
      <c r="A9" s="16" t="n">
        <v>5</v>
      </c>
      <c r="B9" s="6" t="s">
        <v>39</v>
      </c>
      <c r="C9" s="6" t="s">
        <v>238</v>
      </c>
      <c r="D9" s="5" t="s">
        <v>234</v>
      </c>
      <c r="E9" s="16"/>
      <c r="F9" s="16"/>
      <c r="G9" s="31" t="str">
        <f aca="false">IFERROR((E9-F9)/E9,"")</f>
        <v/>
      </c>
      <c r="H9" s="16"/>
      <c r="I9" s="6"/>
    </row>
    <row r="10" customFormat="false" ht="30" hidden="false" customHeight="true" outlineLevel="0" collapsed="false">
      <c r="A10" s="16" t="n">
        <v>6</v>
      </c>
      <c r="B10" s="6" t="s">
        <v>239</v>
      </c>
      <c r="C10" s="6" t="s">
        <v>240</v>
      </c>
      <c r="D10" s="5" t="s">
        <v>231</v>
      </c>
      <c r="E10" s="16"/>
      <c r="F10" s="16"/>
      <c r="G10" s="31" t="str">
        <f aca="false">IFERROR((E10-F10)/E10,"")</f>
        <v/>
      </c>
      <c r="H10" s="16"/>
      <c r="I10" s="6"/>
    </row>
    <row r="11" customFormat="false" ht="30" hidden="false" customHeight="true" outlineLevel="0" collapsed="false">
      <c r="A11" s="16" t="n">
        <v>7</v>
      </c>
      <c r="B11" s="6" t="s">
        <v>241</v>
      </c>
      <c r="C11" s="6" t="s">
        <v>242</v>
      </c>
      <c r="D11" s="5" t="s">
        <v>234</v>
      </c>
      <c r="E11" s="16"/>
      <c r="F11" s="16"/>
      <c r="G11" s="31" t="str">
        <f aca="false">IFERROR((F11-E11)/E11,"")</f>
        <v/>
      </c>
      <c r="H11" s="16"/>
      <c r="I11" s="6"/>
    </row>
    <row r="12" customFormat="false" ht="30" hidden="false" customHeight="true" outlineLevel="0" collapsed="false">
      <c r="A12" s="16" t="n">
        <v>8</v>
      </c>
      <c r="B12" s="6" t="s">
        <v>243</v>
      </c>
      <c r="C12" s="6" t="s">
        <v>244</v>
      </c>
      <c r="D12" s="5" t="s">
        <v>231</v>
      </c>
      <c r="E12" s="16"/>
      <c r="F12" s="16"/>
      <c r="G12" s="31" t="str">
        <f aca="false">IFERROR((E12-F12)/E12,"")</f>
        <v/>
      </c>
      <c r="H12" s="16"/>
      <c r="I12" s="6"/>
    </row>
    <row r="13" customFormat="false" ht="30" hidden="false" customHeight="true" outlineLevel="0" collapsed="false">
      <c r="A13" s="16" t="n">
        <v>9</v>
      </c>
      <c r="B13" s="6" t="s">
        <v>245</v>
      </c>
      <c r="C13" s="6" t="s">
        <v>246</v>
      </c>
      <c r="D13" s="5" t="s">
        <v>247</v>
      </c>
      <c r="E13" s="16"/>
      <c r="F13" s="16"/>
      <c r="G13" s="31" t="str">
        <f aca="false">IFERROR((E13-F13)/E13,"")</f>
        <v/>
      </c>
      <c r="H13" s="16"/>
      <c r="I13" s="6"/>
    </row>
    <row r="14" customFormat="false" ht="30" hidden="false" customHeight="true" outlineLevel="0" collapsed="false">
      <c r="A14" s="16" t="n">
        <v>10</v>
      </c>
      <c r="B14" s="6" t="s">
        <v>248</v>
      </c>
      <c r="C14" s="6" t="s">
        <v>249</v>
      </c>
      <c r="D14" s="5" t="s">
        <v>247</v>
      </c>
      <c r="E14" s="16"/>
      <c r="F14" s="16"/>
      <c r="G14" s="31" t="str">
        <f aca="false">IFERROR((E14-F14)/E14,"")</f>
        <v/>
      </c>
      <c r="H14" s="16"/>
      <c r="I14" s="6"/>
    </row>
    <row r="15" customFormat="false" ht="30" hidden="false" customHeight="true" outlineLevel="0" collapsed="false">
      <c r="A15" s="16" t="n">
        <v>11</v>
      </c>
      <c r="B15" s="6" t="s">
        <v>250</v>
      </c>
      <c r="C15" s="6" t="s">
        <v>251</v>
      </c>
      <c r="D15" s="5" t="s">
        <v>231</v>
      </c>
      <c r="E15" s="16"/>
      <c r="F15" s="16"/>
      <c r="G15" s="31" t="str">
        <f aca="false">IFERROR((E15-F15)/E15,"")</f>
        <v/>
      </c>
      <c r="H15" s="16"/>
      <c r="I15" s="6"/>
    </row>
    <row r="16" customFormat="false" ht="30" hidden="false" customHeight="true" outlineLevel="0" collapsed="false">
      <c r="A16" s="16" t="n">
        <v>12</v>
      </c>
      <c r="B16" s="6" t="s">
        <v>252</v>
      </c>
      <c r="C16" s="6" t="s">
        <v>253</v>
      </c>
      <c r="D16" s="5" t="s">
        <v>234</v>
      </c>
      <c r="E16" s="16"/>
      <c r="F16" s="16"/>
      <c r="G16" s="31" t="str">
        <f aca="false">IFERROR((F16-E16)/E16,"")</f>
        <v/>
      </c>
      <c r="H16" s="16"/>
      <c r="I16" s="6"/>
    </row>
    <row r="18" customFormat="false" ht="24" hidden="false" customHeight="true" outlineLevel="0" collapsed="false">
      <c r="A18" s="17" t="s">
        <v>254</v>
      </c>
      <c r="B18" s="17"/>
      <c r="C18" s="17"/>
      <c r="D18" s="17"/>
      <c r="E18" s="17"/>
      <c r="F18" s="17"/>
      <c r="G18" s="17"/>
      <c r="H18" s="17"/>
      <c r="I18" s="17"/>
    </row>
    <row r="19" customFormat="false" ht="19.5" hidden="false" customHeight="true" outlineLevel="0" collapsed="false">
      <c r="A19" s="21" t="s">
        <v>255</v>
      </c>
      <c r="B19" s="21"/>
      <c r="C19" s="21"/>
      <c r="D19" s="21"/>
      <c r="E19" s="14" t="n">
        <f aca="false">COUNT(E5:E16)</f>
        <v>0</v>
      </c>
    </row>
    <row r="20" customFormat="false" ht="19.5" hidden="false" customHeight="true" outlineLevel="0" collapsed="false">
      <c r="A20" s="21" t="s">
        <v>256</v>
      </c>
      <c r="B20" s="21"/>
      <c r="C20" s="21"/>
      <c r="D20" s="21"/>
      <c r="E20" s="14" t="n">
        <f aca="false">COUNT(F5:F16)</f>
        <v>0</v>
      </c>
    </row>
    <row r="21" customFormat="false" ht="19.5" hidden="false" customHeight="true" outlineLevel="0" collapsed="false">
      <c r="A21" s="21" t="s">
        <v>257</v>
      </c>
      <c r="B21" s="21"/>
      <c r="C21" s="21"/>
      <c r="D21" s="21"/>
      <c r="E21" s="32" t="str">
        <f aca="false">IFERROR(AVERAGE(G5:G16),"-")</f>
        <v>-</v>
      </c>
    </row>
    <row r="22" customFormat="false" ht="19.5" hidden="false" customHeight="true" outlineLevel="0" collapsed="false">
      <c r="A22" s="21" t="s">
        <v>258</v>
      </c>
      <c r="B22" s="21"/>
      <c r="C22" s="21"/>
      <c r="D22" s="21"/>
      <c r="E22" s="14" t="str">
        <f aca="false">IFERROR(AVERAGE(H5:H16),"-")</f>
        <v>-</v>
      </c>
    </row>
    <row r="24" customFormat="false" ht="36" hidden="false" customHeight="true" outlineLevel="0" collapsed="false">
      <c r="A24" s="33" t="s">
        <v>259</v>
      </c>
      <c r="B24" s="33"/>
      <c r="C24" s="33"/>
      <c r="D24" s="33"/>
      <c r="E24" s="33"/>
      <c r="F24" s="33"/>
      <c r="G24" s="33"/>
      <c r="H24" s="33"/>
      <c r="I24" s="33"/>
    </row>
  </sheetData>
  <mergeCells count="8">
    <mergeCell ref="A1:I1"/>
    <mergeCell ref="A2:I2"/>
    <mergeCell ref="A18:I18"/>
    <mergeCell ref="A19:D19"/>
    <mergeCell ref="A20:D20"/>
    <mergeCell ref="A21:D21"/>
    <mergeCell ref="A22:D22"/>
    <mergeCell ref="A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2026-05-04T12:27:35Z</dcterms:created>
  <dc:creator>openpyxl</dc:creator>
  <dc:description/>
  <dc:language>en-US</dc:language>
  <cp:lastModifiedBy/>
  <dcterms:modified xsi:type="dcterms:W3CDTF">2026-05-04T12:27:35Z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