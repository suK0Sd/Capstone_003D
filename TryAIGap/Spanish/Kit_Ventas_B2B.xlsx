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tálogo" sheetId="1" state="visible" r:id="rId3"/>
    <sheet name="Cuestionario" sheetId="2" state="visible" r:id="rId4"/>
    <sheet name="Canvas" sheetId="3" state="visible" r:id="rId5"/>
    <sheet name="Sales Stack Maturity"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<sst xmlns="http://schemas.openxmlformats.org/spreadsheetml/2006/main" count="248" uniqueCount="226">
  <si>
    <t xml:space="preserve">Catálogo de casos de uso · Ventas (B2B complejo)</t>
  </si>
  <si>
    <t xml:space="preserve">15 casos organizados en 5 etapas del funnel comercial. Marca en la última columna los que aplican.</t>
  </si>
  <si>
    <t xml:space="preserve">#</t>
  </si>
  <si>
    <t xml:space="preserve">Caso de uso</t>
  </si>
  <si>
    <t xml:space="preserve">Descripción</t>
  </si>
  <si>
    <t xml:space="preserve">Familia de IA</t>
  </si>
  <si>
    <t xml:space="preserve">KPI típico</t>
  </si>
  <si>
    <t xml:space="preserve">Datos requeridos</t>
  </si>
  <si>
    <t xml:space="preserve">Esfuerzo</t>
  </si>
  <si>
    <t xml:space="preserve">Madurez (1-5)</t>
  </si>
  <si>
    <t xml:space="preserve">Compliance / riesgo</t>
  </si>
  <si>
    <t xml:space="preserve">¿Aplica?</t>
  </si>
  <si>
    <t xml:space="preserve">Notas</t>
  </si>
  <si>
    <t xml:space="preserve">ETAPA 1 — GENERACIÓN Y CALIFICACIÓN DE LEADS</t>
  </si>
  <si>
    <t xml:space="preserve">Lead scoring predictivo</t>
  </si>
  <si>
    <t xml:space="preserve">Asigna puntaje de probabilidad de conversión a cada lead a partir de atributos demográficos, firmográficos, de comportamiento y patrones históricos de la base.</t>
  </si>
  <si>
    <t xml:space="preserve">ML clásico</t>
  </si>
  <si>
    <t xml:space="preserve">Tasa de conversión MQL→SQL, ahorro de tiempo de SDR, calidad del pipeline</t>
  </si>
  <si>
    <t xml:space="preserve">Histórico de leads con outcome, atributos, comportamiento web/email</t>
  </si>
  <si>
    <t xml:space="preserve">Quick Win</t>
  </si>
  <si>
    <t xml:space="preserve">Sesgo en puntuación; explicabilidad para reps; auditoría de fairness.</t>
  </si>
  <si>
    <t xml:space="preserve">Enriquecimiento automático de leads y cuentas</t>
  </si>
  <si>
    <t xml:space="preserve">Completa información de leads y cuentas a partir de fuentes públicas (LinkedIn, sitios corporativos, news) y bases comerciales, normalizando y deduplicando.</t>
  </si>
  <si>
    <t xml:space="preserve">ML + GenAI</t>
  </si>
  <si>
    <t xml:space="preserve">Calidad de datos del CRM, productividad de SDRs, tasa de respuesta</t>
  </si>
  <si>
    <t xml:space="preserve">Datos parciales del CRM, fuentes públicas, APIs comerciales</t>
  </si>
  <si>
    <t xml:space="preserve">Privacidad de datos; cumplimiento con GDPR/regulación local; veracidad de fuentes.</t>
  </si>
  <si>
    <t xml:space="preserve">Account-based intelligence (cuentas objetivo)</t>
  </si>
  <si>
    <t xml:space="preserve">Identifica las cuentas con mayor probabilidad de convertirse en clientes ideales (ICP) a partir de señales de intent, ajuste de perfil y similitud con clientes ganados.</t>
  </si>
  <si>
    <t xml:space="preserve">ML clásico + intent data</t>
  </si>
  <si>
    <t xml:space="preserve">Hit rate sobre cuentas trabajadas, eficiencia de prospección, tamaño de pipeline ABM</t>
  </si>
  <si>
    <t xml:space="preserve">ICP definido, base de cuentas, intent signals (terceros), histórico de ganadas/perdidas</t>
  </si>
  <si>
    <t xml:space="preserve">Mediano</t>
  </si>
  <si>
    <t xml:space="preserve">Calidad de los signals; sesgo a clientes ganados anteriores; gobernanza de listas.</t>
  </si>
  <si>
    <t xml:space="preserve">ETAPA 2 — INTELIGENCIA DE CUENTA Y PIPELINE</t>
  </si>
  <si>
    <t xml:space="preserve">Conversational intelligence</t>
  </si>
  <si>
    <t xml:space="preserve">Transcribe, analiza y resume llamadas y reuniones comerciales. Detecta menciones clave, objeciones, competidores y oportunidades. Coaching automatizado al rep.</t>
  </si>
  <si>
    <t xml:space="preserve">GenAI + ML</t>
  </si>
  <si>
    <t xml:space="preserve">Tiempo administrativo del rep, calidad de notas en CRM, mejora de close rate</t>
  </si>
  <si>
    <t xml:space="preserve">Grabaciones/transcripciones de llamadas y meetings (con consentimiento)</t>
  </si>
  <si>
    <t xml:space="preserve">Privacidad y consentimiento de la grabación; cumplimiento regional; uso ético del coaching.</t>
  </si>
  <si>
    <t xml:space="preserve">Predicción de probabilidad de cierre</t>
  </si>
  <si>
    <t xml:space="preserve">Modelo predictivo que estima la probabilidad real de ganar cada oportunidad del pipeline, con explicación de los factores que mueven la probabilidad.</t>
  </si>
  <si>
    <t xml:space="preserve">Forecast accuracy, identificación temprana de deals en riesgo, win rate</t>
  </si>
  <si>
    <t xml:space="preserve">Histórico de oportunidades con outcome, atributos, actividad asociada</t>
  </si>
  <si>
    <t xml:space="preserve">Calibración del modelo; explicabilidad para el rep; sesgo a deals ganados.</t>
  </si>
  <si>
    <t xml:space="preserve">Detección de pipeline en riesgo (deal health)</t>
  </si>
  <si>
    <t xml:space="preserve">Monitorea oportunidades activas y alerta cuando un deal muestra señales de estancamiento, pérdida de momentum o fuga al competidor.</t>
  </si>
  <si>
    <t xml:space="preserve">ML + reglas</t>
  </si>
  <si>
    <t xml:space="preserve">Tasa de recuperación de deals en riesgo, reducción de slippage, win rate</t>
  </si>
  <si>
    <t xml:space="preserve">Pipeline activo, cadencia de actividad, signals externos del comprador</t>
  </si>
  <si>
    <t xml:space="preserve">Falsos positivos; sobrecarga del rep; explicabilidad del riesgo identificado.</t>
  </si>
  <si>
    <t xml:space="preserve">ETAPA 3 — COMPROMISO DEL COMPRADOR</t>
  </si>
  <si>
    <t xml:space="preserve">Copiloto del vendedor en tiempo real</t>
  </si>
  <si>
    <t xml:space="preserve">Asistente que sugiere respuestas, datos, casos similares y next-best-actions durante una llamada o intercambio en vivo con el comprador.</t>
  </si>
  <si>
    <t xml:space="preserve">GenAI / RAG</t>
  </si>
  <si>
    <t xml:space="preserve">AHT en interacciones complejas, FCR de objeciones, productividad del rep</t>
  </si>
  <si>
    <t xml:space="preserve">Base de conocimiento del producto, casos previos, perfil de la cuenta</t>
  </si>
  <si>
    <t xml:space="preserve">Riesgo de alucinación; revisión humana; trazabilidad de sugerencias.</t>
  </si>
  <si>
    <t xml:space="preserve">Generación de emails y mensajes personalizados</t>
  </si>
  <si>
    <t xml:space="preserve">Borrador automático de emails de prospección, follow-up y nurturing, personalizados con contexto de la cuenta y del momento de la conversación.</t>
  </si>
  <si>
    <t xml:space="preserve">GenAI</t>
  </si>
  <si>
    <t xml:space="preserve">Volumen de outreach por rep, tasa de respuesta, productividad</t>
  </si>
  <si>
    <t xml:space="preserve">Plantillas, perfil de cuenta, histórico de la conversación</t>
  </si>
  <si>
    <t xml:space="preserve">Aprobación humana antes de envío; calidad inconsistente; cumplimiento de cláusulas anti-spam.</t>
  </si>
  <si>
    <t xml:space="preserve">Asistente conversacional / SDR autónomo (parcial)</t>
  </si>
  <si>
    <t xml:space="preserve">Agente conversacional que mantiene el primer intercambio con leads inbound y outbound, califica, agenda reuniones y deriva al rep humano cuando corresponde.</t>
  </si>
  <si>
    <t xml:space="preserve">GenAI / Agentes</t>
  </si>
  <si>
    <t xml:space="preserve">Volumen de leads atendidos sin rep, tasa de booking, costo por meeting</t>
  </si>
  <si>
    <t xml:space="preserve">Plantillas, criterios de calificación, integración con CRM y calendar</t>
  </si>
  <si>
    <t xml:space="preserve">Transparencia (informar que es IA); riesgo de alucinación; escalamiento humano.</t>
  </si>
  <si>
    <t xml:space="preserve">ETAPA 4 — PROPUESTA Y CIERRE</t>
  </si>
  <si>
    <t xml:space="preserve">Generación automática de propuestas comerciales</t>
  </si>
  <si>
    <t xml:space="preserve">Construye borradores de propuestas y respuestas a RFPs a partir de la información de la cuenta, el portafolio de productos y propuestas previas similares.</t>
  </si>
  <si>
    <t xml:space="preserve">Tiempo a primera propuesta, productividad del equipo, win rate de RFPs</t>
  </si>
  <si>
    <t xml:space="preserve">Plantillas de propuesta, catálogo de productos, propuestas históricas</t>
  </si>
  <si>
    <t xml:space="preserve">Revisión humana obligatoria; consistencia comercial; control de versiones.</t>
  </si>
  <si>
    <t xml:space="preserve">Pricing dinámico y guidance de precio</t>
  </si>
  <si>
    <t xml:space="preserve">Recomienda precio óptimo o rango de descuento por oportunidad a partir de elasticidad histórica, características de la cuenta, competidor y win rate esperado.</t>
  </si>
  <si>
    <t xml:space="preserve">Margen promedio, win rate, reducción de descuentos no justificados</t>
  </si>
  <si>
    <t xml:space="preserve">Histórico de precios y outcomes, características de cuentas, competencia</t>
  </si>
  <si>
    <t xml:space="preserve">Transparencia de la decisión; cumplimiento regulatorio (anti-discriminación); aprobación del rep.</t>
  </si>
  <si>
    <t xml:space="preserve">Generación de borradores de contratos comerciales</t>
  </si>
  <si>
    <t xml:space="preserve">Auto-genera primeras versiones de MSAs, SOWs y NDAs a partir de plantillas y parámetros del deal, con marcado de cláusulas de riesgo.</t>
  </si>
  <si>
    <t xml:space="preserve">Tiempo a contrato, productividad legal, errores en versiones</t>
  </si>
  <si>
    <t xml:space="preserve">Plantillas legales aprobadas, parámetros del deal, contraparte</t>
  </si>
  <si>
    <t xml:space="preserve">Revisión legal obligatoria; control de versiones; trazabilidad.</t>
  </si>
  <si>
    <t xml:space="preserve">ETAPA 5 — POST-VENTA Y CRECIMIENTO DE CUENTA</t>
  </si>
  <si>
    <t xml:space="preserve">Predicción de churn comercial</t>
  </si>
  <si>
    <t xml:space="preserve">Modela probabilidad de no-renovación o pérdida de cuenta a partir de patrones de uso, salud comercial e interacciones de servicio.</t>
  </si>
  <si>
    <t xml:space="preserve">Tasa de retención, ahorro de CLV, recuperación de cuentas en riesgo</t>
  </si>
  <si>
    <t xml:space="preserve">Datos de uso, interacciones de servicio, histórico de renovaciones</t>
  </si>
  <si>
    <t xml:space="preserve">Decisión sobre cliente; transparencia con el equipo de servicio; explicabilidad.</t>
  </si>
  <si>
    <t xml:space="preserve">Identificación de oportunidades cross-sell y upsell</t>
  </si>
  <si>
    <t xml:space="preserve">Detecta cuentas con probabilidad alta de adoptar productos adicionales o ampliar contratos, basado en patrones de uso y similitud con cuentas que crecieron.</t>
  </si>
  <si>
    <t xml:space="preserve">Crecimiento por cuenta (NRR), tamaño promedio de upsell, hit rate</t>
  </si>
  <si>
    <t xml:space="preserve">Histórico de uso, expansión, características de cuenta</t>
  </si>
  <si>
    <t xml:space="preserve">Calidad de la recomendación; coordinación con account managers.</t>
  </si>
  <si>
    <t xml:space="preserve">Salud de cuenta y NPS predictivo</t>
  </si>
  <si>
    <t xml:space="preserve">Calcula score de salud de cada cuenta combinando uso, satisfacción, interacciones, salud financiera del cliente y riesgos detectados. Anticipa riesgos antes del NPS formal.</t>
  </si>
  <si>
    <t xml:space="preserve">Cuentas en rojo recuperadas, tiempo de detección, NPS real</t>
  </si>
  <si>
    <t xml:space="preserve">Datos de uso, tickets de servicio, encuestas, datos financieros del cliente</t>
  </si>
  <si>
    <t xml:space="preserve">Privacidad de datos del cliente; uso ético; transparencia.</t>
  </si>
  <si>
    <t xml:space="preserve">RESUMEN DE SELECCIONES</t>
  </si>
  <si>
    <t xml:space="preserve">Casos marcados "Sí":</t>
  </si>
  <si>
    <t xml:space="preserve">Casos marcados "Tal vez":</t>
  </si>
  <si>
    <t xml:space="preserve">Total candidatos (Sí + Tal vez):</t>
  </si>
  <si>
    <t xml:space="preserve">Cuestionario de autoevaluación · Ventas B2B</t>
  </si>
  <si>
    <t xml:space="preserve">16 preguntas en 4 bloques. Escala 1-5. Calcula automáticamente Pain × Readiness con recomendación.</t>
  </si>
  <si>
    <t xml:space="preserve">Escala:</t>
  </si>
  <si>
    <t xml:space="preserve">1 = no existe / muy bajo  ·  2 = bajo  ·  3 = medio  ·  4 = alto  ·  5 = sistemático / muy alto</t>
  </si>
  <si>
    <t xml:space="preserve">Pregunta</t>
  </si>
  <si>
    <t xml:space="preserve">Puntaje (1-5)</t>
  </si>
  <si>
    <t xml:space="preserve">BLOQUE A — Pain comercial</t>
  </si>
  <si>
    <t xml:space="preserve">A1</t>
  </si>
  <si>
    <t xml:space="preserve">El % de leads desperdiciados (sin contacto, mal calificados, sin seguimiento) es:</t>
  </si>
  <si>
    <t xml:space="preserve">A2</t>
  </si>
  <si>
    <t xml:space="preserve">El error de forecast comercial mensual / trimestral que tenemos hoy es:</t>
  </si>
  <si>
    <t xml:space="preserve">A3</t>
  </si>
  <si>
    <t xml:space="preserve">El tiempo administrativo del rep (notas, CRM, propuestas) frente al tiempo con cliente es:</t>
  </si>
  <si>
    <t xml:space="preserve">A4</t>
  </si>
  <si>
    <t xml:space="preserve">La tasa de churn comercial / no-renovación de cuentas es:</t>
  </si>
  <si>
    <t xml:space="preserve">BLOQUE B — Readiness de datos comerciales</t>
  </si>
  <si>
    <t xml:space="preserve">B1</t>
  </si>
  <si>
    <t xml:space="preserve">Tenemos un CRM corporativo único con adopción mayor al 80% de los vendedores:</t>
  </si>
  <si>
    <t xml:space="preserve">B2</t>
  </si>
  <si>
    <t xml:space="preserve">Las actividades comerciales (llamadas, emails, reuniones) se registran sistemáticamente:</t>
  </si>
  <si>
    <t xml:space="preserve">B3</t>
  </si>
  <si>
    <t xml:space="preserve">Tenemos histórico de al menos 12 meses de oportunidades con su outcome (ganada/perdida):</t>
  </si>
  <si>
    <t xml:space="preserve">B4</t>
  </si>
  <si>
    <t xml:space="preserve">Las llamadas comerciales se graban / transcriben con consentimiento:</t>
  </si>
  <si>
    <t xml:space="preserve">BLOQUE C — Readiness del equipo comercial</t>
  </si>
  <si>
    <t xml:space="preserve">C1</t>
  </si>
  <si>
    <t xml:space="preserve">El VP/Director Comercial está abierto a incorporar IA y patrocina la iniciativa:</t>
  </si>
  <si>
    <t xml:space="preserve">C2</t>
  </si>
  <si>
    <t xml:space="preserve">Hay champions tecnológicos (RevOps, Sales Ops) en el equipo comercial:</t>
  </si>
  <si>
    <t xml:space="preserve">C3</t>
  </si>
  <si>
    <t xml:space="preserve">Los reps aceptan herramientas digitales y cambian comportamiento si ven valor:</t>
  </si>
  <si>
    <t xml:space="preserve">C4</t>
  </si>
  <si>
    <t xml:space="preserve">El equipo ha pasado por proyectos de transformación comercial con éxito razonable:</t>
  </si>
  <si>
    <t xml:space="preserve">BLOQUE D — Alineación estratégica</t>
  </si>
  <si>
    <t xml:space="preserve">D1</t>
  </si>
  <si>
    <t xml:space="preserve">Tenemos metas explícitas de win rate, productividad por rep, NRR o reducción de CAC:</t>
  </si>
  <si>
    <t xml:space="preserve">D2</t>
  </si>
  <si>
    <t xml:space="preserve">Hay presupuesto razonable para invertir en revtech / IA en los próximos 12 meses:</t>
  </si>
  <si>
    <t xml:space="preserve">D3</t>
  </si>
  <si>
    <t xml:space="preserve">La regulación aplicable nos permite usar IA con datos de prospects y clientes:</t>
  </si>
  <si>
    <t xml:space="preserve">D4</t>
  </si>
  <si>
    <t xml:space="preserve">Existe un caso de negocio claro de impacto en revenue, margen o eficiencia comercial:</t>
  </si>
  <si>
    <t xml:space="preserve">RESULTADOS</t>
  </si>
  <si>
    <t xml:space="preserve">Pain score (Bloque A):</t>
  </si>
  <si>
    <t xml:space="preserve">Readiness score (Bloques B + C + D):</t>
  </si>
  <si>
    <t xml:space="preserve">RECOMENDACIÓN:</t>
  </si>
  <si>
    <t xml:space="preserve">Matriz 2×2 — Pain × Readiness</t>
  </si>
  <si>
    <t xml:space="preserve">Readiness BAJA (&lt; 3.5)</t>
  </si>
  <si>
    <t xml:space="preserve">Readiness ALTA (≥ 3.5)</t>
  </si>
  <si>
    <t xml:space="preserve">Pain ALTO (≥ 3.5)</t>
  </si>
  <si>
    <t xml:space="preserve">Invertir en stack comercial primero</t>
  </si>
  <si>
    <t xml:space="preserve">QUICK WIN PRIORITARIO</t>
  </si>
  <si>
    <t xml:space="preserve">Pain BAJO (&lt; 3.5)</t>
  </si>
  <si>
    <t xml:space="preserve">Aún no es momento</t>
  </si>
  <si>
    <t xml:space="preserve">Oportunidad sin urgencia</t>
  </si>
  <si>
    <t xml:space="preserve">Canvas de oportunidad · Ventas B2B</t>
  </si>
  <si>
    <t xml:space="preserve">Documenta una oportunidad concreta. Reemplaza el texto en cursiva. Salida lista para Módulo 2.</t>
  </si>
  <si>
    <t xml:space="preserve">1.  Nombre del caso</t>
  </si>
  <si>
    <t xml:space="preserve">   Prompt: ≤ 8 palabras</t>
  </si>
  <si>
    <t xml:space="preserve">Ej. Lead scoring para vertical financiero</t>
  </si>
  <si>
    <t xml:space="preserve">2.  Pain point concreto</t>
  </si>
  <si>
    <t xml:space="preserve">   Prompt: Hoy nuestro equipo comercial sufre X cuando Y</t>
  </si>
  <si>
    <t xml:space="preserve">Ej. Hoy nuestros 12 SDRs trabajan ~3.000 leads/mes con tasa de conversión a SQL del 8%, gastando 60% del tiempo en leads que nunca convertirán.</t>
  </si>
  <si>
    <t xml:space="preserve">3.  Frecuencia y volumen</t>
  </si>
  <si>
    <t xml:space="preserve">   Prompt: ¿Cuántos leads/oportunidades/cuentas afecta por mes?</t>
  </si>
  <si>
    <t xml:space="preserve">Ej. 3.000 leads inbound/mes; 12 SDRs y 25 AEs afectados; pipeline mensual de USD 4M en juego.</t>
  </si>
  <si>
    <t xml:space="preserve">4.  Costo estimado del dolor</t>
  </si>
  <si>
    <t xml:space="preserve">   Prompt: USD/mes en costo directo + oportunidad perdida</t>
  </si>
  <si>
    <t xml:space="preserve">Ej. 60% del tiempo SDR = USD 50K/mes en costo; oportunidades perdidas por no priorizar bien = USD 200K/mes en pipeline no trabajado.</t>
  </si>
  <si>
    <t xml:space="preserve">5.  KPI primario a mover</t>
  </si>
  <si>
    <t xml:space="preserve">   Prompt: Indicador concreto y dirección</t>
  </si>
  <si>
    <t xml:space="preserve">Ej. Tasa MQL→SQL (de 8% a 16%); productividad por SDR (+30%); win rate por oportunidad calificada (+5pp).</t>
  </si>
  <si>
    <t xml:space="preserve">6.  Magnitud esperada del cambio</t>
  </si>
  <si>
    <t xml:space="preserve">   Prompt: De X a Y, en qué horizonte</t>
  </si>
  <si>
    <t xml:space="preserve">Ej. Duplicar tasa de conversión a SQL en 6 meses; recuperar inversión en mes 4; +USD 1.5M ARR a 12 meses.</t>
  </si>
  <si>
    <t xml:space="preserve">7.  Datos disponibles</t>
  </si>
  <si>
    <t xml:space="preserve">   Prompt: CRM, fuentes externas, calidad, brechas</t>
  </si>
  <si>
    <t xml:space="preserve">Ej. CRM con 18 meses de leads (HubSpot), outcome documentado en 80% de oportunidades, intent data de tercero contratado, sin enriquecimiento automático.</t>
  </si>
  <si>
    <t xml:space="preserve">8.  Familia de IA hipotética</t>
  </si>
  <si>
    <t xml:space="preserve">   Prompt: Reglas / ML clásico / GenAI / Híbrida (Módulo 4)</t>
  </si>
  <si>
    <t xml:space="preserve">Ej. ML supervisado clásico (gradient boosting) con explicabilidad SHAP; integración nativa con CRM.</t>
  </si>
  <si>
    <t xml:space="preserve">9.  Riesgos visibles</t>
  </si>
  <si>
    <t xml:space="preserve">   Prompt: Adopción del rep, sesgo, regulación, dependencia de datos</t>
  </si>
  <si>
    <t xml:space="preserve">Ej. Resistencia inicial del SDR senior; sesgo a verticales históricamente ganados; cumplimiento GDPR para enrichment de leads UE.</t>
  </si>
  <si>
    <t xml:space="preserve">10.  Sponsor del caso</t>
  </si>
  <si>
    <t xml:space="preserve">   Prompt: Nombre y rol del patrocinador comercial</t>
  </si>
  <si>
    <t xml:space="preserve">Ej. VP Sales, Andrea Morales, con respaldo del CRO.</t>
  </si>
  <si>
    <t xml:space="preserve">SALIDA — Resumen del caso para Módulo 2</t>
  </si>
  <si>
    <t xml:space="preserve">Cuando completes los 10 campos, copia el contenido en la plantilla del Módulo 2. Verifica antes en la pestaña AI Sales Stack Maturity que el stack comercial soporta el caso elegido.</t>
  </si>
  <si>
    <t xml:space="preserve">AI Sales Stack Maturity · Diagnóstico del stack comercial</t>
  </si>
  <si>
    <t xml:space="preserve">Cuán listo está tu stack comercial para iniciativas de IA. Marca el estado real de cada capacidad. La hoja calcula score automático y emite recomendación.</t>
  </si>
  <si>
    <t xml:space="preserve">Capacidad / Habilitador</t>
  </si>
  <si>
    <t xml:space="preserve">Estado</t>
  </si>
  <si>
    <t xml:space="preserve">Comentario</t>
  </si>
  <si>
    <t xml:space="preserve">A. CRM Y DATOS COMERCIALES</t>
  </si>
  <si>
    <t xml:space="preserve">Tenemos CRM corporativo único con adopción mayor al 80% de los vendedores</t>
  </si>
  <si>
    <t xml:space="preserve">Las actividades de venta (llamadas, emails, reuniones) se registran sistemáticamente en CRM</t>
  </si>
  <si>
    <t xml:space="preserve">Tenemos histórico de al menos 12 meses de oportunidades, cuentas y contactos</t>
  </si>
  <si>
    <t xml:space="preserve">La calidad de datos del CRM es razonable (no más del 20% de duplicados, datos faltantes)</t>
  </si>
  <si>
    <t xml:space="preserve">B. DEFINICIONES Y PROCESOS COMERCIALES</t>
  </si>
  <si>
    <t xml:space="preserve">MQL y SQL están definidos con criterios claros y aplicados consistentemente</t>
  </si>
  <si>
    <t xml:space="preserve">El funnel comercial está documentado con stages claros y avances medibles</t>
  </si>
  <si>
    <t xml:space="preserve">Existe ICP (Ideal Customer Profile) documentado y operativo</t>
  </si>
  <si>
    <t xml:space="preserve">La taxonomía de productos / oferta comercial está estandarizada</t>
  </si>
  <si>
    <t xml:space="preserve">C. STACK TECNOLÓGICO COMERCIAL</t>
  </si>
  <si>
    <t xml:space="preserve">Existe sistema de marketing automation conectado al CRM</t>
  </si>
  <si>
    <t xml:space="preserve">Las llamadas comerciales se graban (con consentimiento) y/o están en sistema</t>
  </si>
  <si>
    <t xml:space="preserve">Hay integraciones entre CRM, ERP y sistemas de facturación</t>
  </si>
  <si>
    <t xml:space="preserve">Existe gestión documental de propuestas y contratos</t>
  </si>
  <si>
    <t xml:space="preserve">D. CULTURA Y GOBIERNO COMERCIAL</t>
  </si>
  <si>
    <t xml:space="preserve">Los líderes comerciales toman decisiones con datos del CRM, no solo intuición</t>
  </si>
  <si>
    <t xml:space="preserve">El forecast comercial se construye desde el CRM y se compara con el real</t>
  </si>
  <si>
    <t xml:space="preserve">Existe cultura de coaching y revisión de oportunidades en pipeline</t>
  </si>
  <si>
    <t xml:space="preserve">RESUMEN Y SCORE DE STACK MATURITY</t>
  </si>
  <si>
    <t xml:space="preserve">Capacidades marcadas "Sí":</t>
  </si>
  <si>
    <t xml:space="preserve">Parciales:</t>
  </si>
  <si>
    <t xml:space="preserve">No tenemos:</t>
  </si>
  <si>
    <t xml:space="preserve">No aplican:</t>
  </si>
  <si>
    <t xml:space="preserve">SCORE DE SALES STACK MATURITY:</t>
  </si>
</sst>
</file>

<file path=xl/styles.xml><?xml version="1.0" encoding="utf-8"?>
<styleSheet xmlns="http://schemas.openxmlformats.org/spreadsheetml/2006/main">
  <numFmts count="3">
    <numFmt numFmtId="164" formatCode="General"/>
    <numFmt numFmtId="165" formatCode="0.00"/>
    <numFmt numFmtId="166" formatCode="0.0%"/>
  </numFmts>
  <fonts count="36">
    <font>
      <sz val="11"/>
      <color theme="1"/>
      <name val="Calibri"/>
      <family val="2"/>
      <charset val="1"/>
    </font>
    <font>
      <sz val="10"/>
      <name val="Arial"/>
      <family val="0"/>
    </font>
    <font>
      <sz val="10"/>
      <name val="Arial"/>
      <family val="0"/>
    </font>
    <font>
      <sz val="10"/>
      <name val="Arial"/>
      <family val="0"/>
    </font>
    <font>
      <b val="true"/>
      <sz val="18"/>
      <color rgb="FF1F3A5F"/>
      <name val="Arial"/>
      <family val="0"/>
      <charset val="1"/>
    </font>
    <font>
      <i val="true"/>
      <sz val="11"/>
      <color rgb="FF6B7280"/>
      <name val="Arial"/>
      <family val="0"/>
      <charset val="1"/>
    </font>
    <font>
      <b val="true"/>
      <sz val="11"/>
      <color rgb="FF1F3A5F"/>
      <name val="Arial"/>
      <family val="0"/>
      <charset val="1"/>
    </font>
    <font>
      <b val="true"/>
      <sz val="12"/>
      <color rgb="FFFFFFFF"/>
      <name val="Arial"/>
      <family val="0"/>
      <charset val="1"/>
    </font>
    <font>
      <sz val="10"/>
      <color rgb="FF2D2D2D"/>
      <name val="Arial"/>
      <family val="0"/>
      <charset val="1"/>
    </font>
    <font>
      <b val="true"/>
      <sz val="10"/>
      <color rgb="FF2D2D2D"/>
      <name val="Arial"/>
      <family val="0"/>
      <charset val="1"/>
    </font>
    <font>
      <b val="true"/>
      <sz val="11"/>
      <color rgb="FF2D2D2D"/>
      <name val="Arial"/>
      <family val="0"/>
      <charset val="1"/>
    </font>
    <font>
      <b val="true"/>
      <sz val="11"/>
      <color rgb="FF0000FF"/>
      <name val="Arial"/>
      <family val="0"/>
      <charset val="1"/>
    </font>
    <font>
      <sz val="10"/>
      <color rgb="FF0000FF"/>
      <name val="Arial"/>
      <family val="0"/>
      <charset val="1"/>
    </font>
    <font>
      <b val="true"/>
      <sz val="12"/>
      <color rgb="FF1F3A5F"/>
      <name val="Arial"/>
      <family val="0"/>
      <charset val="1"/>
    </font>
    <font>
      <b val="true"/>
      <sz val="14"/>
      <color rgb="FF2E7D32"/>
      <name val="Arial"/>
      <family val="0"/>
      <charset val="1"/>
    </font>
    <font>
      <b val="true"/>
      <sz val="14"/>
      <color rgb="FFB7791F"/>
      <name val="Arial"/>
      <family val="0"/>
      <charset val="1"/>
    </font>
    <font>
      <b val="true"/>
      <sz val="14"/>
      <color rgb="FF1F3A5F"/>
      <name val="Arial"/>
      <family val="0"/>
      <charset val="1"/>
    </font>
    <font>
      <i val="true"/>
      <sz val="10"/>
      <color rgb="FF2D2D2D"/>
      <name val="Arial"/>
      <family val="0"/>
      <charset val="1"/>
    </font>
    <font>
      <b val="true"/>
      <sz val="12"/>
      <color rgb="FFB91C1C"/>
      <name val="Arial"/>
      <family val="0"/>
      <charset val="1"/>
    </font>
    <font>
      <b val="true"/>
      <sz val="11"/>
      <color rgb="FFB91C1C"/>
      <name val="Arial"/>
      <family val="0"/>
      <charset val="1"/>
    </font>
    <font>
      <sz val="11"/>
      <color rgb="FF2D2D2D"/>
      <name val="Arial"/>
      <family val="0"/>
      <charset val="1"/>
    </font>
    <font>
      <b val="true"/>
      <sz val="13"/>
      <color rgb="FF0000FF"/>
      <name val="Arial"/>
      <family val="0"/>
      <charset val="1"/>
    </font>
    <font>
      <b val="true"/>
      <sz val="12"/>
      <color rgb="FF2E75B6"/>
      <name val="Arial"/>
      <family val="0"/>
      <charset val="1"/>
    </font>
    <font>
      <b val="true"/>
      <sz val="11"/>
      <color rgb="FF2E75B6"/>
      <name val="Arial"/>
      <family val="0"/>
      <charset val="1"/>
    </font>
    <font>
      <b val="true"/>
      <sz val="13"/>
      <color rgb="FF1F3A5F"/>
      <name val="Arial"/>
      <family val="0"/>
      <charset val="1"/>
    </font>
    <font>
      <b val="true"/>
      <sz val="12"/>
      <color rgb="FF2D2D2D"/>
      <name val="Arial"/>
      <family val="0"/>
      <charset val="1"/>
    </font>
    <font>
      <b val="true"/>
      <sz val="16"/>
      <color rgb="FFB91C1C"/>
      <name val="Arial"/>
      <family val="0"/>
      <charset val="1"/>
    </font>
    <font>
      <b val="true"/>
      <sz val="16"/>
      <color rgb="FF2E7D32"/>
      <name val="Arial"/>
      <family val="0"/>
      <charset val="1"/>
    </font>
    <font>
      <b val="true"/>
      <sz val="11"/>
      <color rgb="FFB7791F"/>
      <name val="Arial"/>
      <family val="0"/>
      <charset val="1"/>
    </font>
    <font>
      <b val="true"/>
      <sz val="11"/>
      <color rgb="FF2E7D32"/>
      <name val="Arial"/>
      <family val="0"/>
      <charset val="1"/>
    </font>
    <font>
      <i val="true"/>
      <sz val="10"/>
      <color rgb="FF6B7280"/>
      <name val="Arial"/>
      <family val="0"/>
      <charset val="1"/>
    </font>
    <font>
      <i val="true"/>
      <sz val="11"/>
      <color rgb="FF2D2D2D"/>
      <name val="Arial"/>
      <family val="0"/>
      <charset val="1"/>
    </font>
    <font>
      <b val="true"/>
      <sz val="13"/>
      <color rgb="FF2E7D32"/>
      <name val="Arial"/>
      <family val="0"/>
      <charset val="1"/>
    </font>
    <font>
      <b val="true"/>
      <sz val="13"/>
      <color rgb="FFB7791F"/>
      <name val="Arial"/>
      <family val="0"/>
      <charset val="1"/>
    </font>
    <font>
      <b val="true"/>
      <sz val="13"/>
      <color rgb="FFB91C1C"/>
      <name val="Arial"/>
      <family val="0"/>
      <charset val="1"/>
    </font>
    <font>
      <sz val="13"/>
      <color rgb="FF6B7280"/>
      <name val="Arial"/>
      <family val="0"/>
      <charset val="1"/>
    </font>
  </fonts>
  <fills count="10">
    <fill>
      <patternFill patternType="none"/>
    </fill>
    <fill>
      <patternFill patternType="gray125"/>
    </fill>
    <fill>
      <patternFill patternType="solid">
        <fgColor rgb="FFE8EEF4"/>
        <bgColor rgb="FFE8F4E8"/>
      </patternFill>
    </fill>
    <fill>
      <patternFill patternType="solid">
        <fgColor rgb="FF1F3A5F"/>
        <bgColor rgb="FF2D2D2D"/>
      </patternFill>
    </fill>
    <fill>
      <patternFill patternType="solid">
        <fgColor rgb="FFFFF8DC"/>
        <bgColor rgb="FFFFF4D6"/>
      </patternFill>
    </fill>
    <fill>
      <patternFill patternType="solid">
        <fgColor rgb="FFE8F4E8"/>
        <bgColor rgb="FFE8EEF4"/>
      </patternFill>
    </fill>
    <fill>
      <patternFill patternType="solid">
        <fgColor rgb="FFFDE7E9"/>
        <bgColor rgb="FFFFF4D6"/>
      </patternFill>
    </fill>
    <fill>
      <patternFill patternType="solid">
        <fgColor rgb="FFDCEEDC"/>
        <bgColor rgb="FFE8F4E8"/>
      </patternFill>
    </fill>
    <fill>
      <patternFill patternType="solid">
        <fgColor rgb="FFFFF4D6"/>
        <bgColor rgb="FFFFF8DC"/>
      </patternFill>
    </fill>
    <fill>
      <patternFill patternType="solid">
        <fgColor rgb="FFF7F9FB"/>
        <bgColor rgb="FFFFFFFF"/>
      </patternFill>
    </fill>
  </fills>
  <borders count="4">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1F3A5F"/>
      </left>
      <right/>
      <top style="thin">
        <color rgb="FF1F3A5F"/>
      </top>
      <bottom style="thin">
        <color rgb="FF1F3A5F"/>
      </bottom>
      <diagonal/>
    </border>
    <border diagonalUp="false" diagonalDown="false">
      <left style="thin">
        <color rgb="FF1F3A5F"/>
      </left>
      <right style="thin">
        <color rgb="FF1F3A5F"/>
      </right>
      <top style="thin">
        <color rgb="FF1F3A5F"/>
      </top>
      <bottom style="thin">
        <color rgb="FF1F3A5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3"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center" vertical="center" textRotation="0" wrapText="true" indent="0" shrinkToFit="false"/>
      <protection locked="true" hidden="false"/>
    </xf>
    <xf numFmtId="164" fontId="6"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10" fillId="0" borderId="1" xfId="0" applyFont="true" applyBorder="true" applyAlignment="true" applyProtection="false">
      <alignment horizontal="center" vertical="center" textRotation="0" wrapText="true" indent="0" shrinkToFit="false"/>
      <protection locked="true" hidden="false"/>
    </xf>
    <xf numFmtId="164" fontId="11" fillId="4" borderId="1" xfId="0" applyFont="true" applyBorder="true" applyAlignment="true" applyProtection="false">
      <alignment horizontal="center" vertical="center" textRotation="0" wrapText="true" indent="0" shrinkToFit="false"/>
      <protection locked="true" hidden="false"/>
    </xf>
    <xf numFmtId="164" fontId="12" fillId="4" borderId="1" xfId="0" applyFont="true" applyBorder="true" applyAlignment="true" applyProtection="false">
      <alignment horizontal="left" vertical="top" textRotation="0" wrapText="true" indent="0" shrinkToFit="false"/>
      <protection locked="true" hidden="false"/>
    </xf>
    <xf numFmtId="164" fontId="13" fillId="2" borderId="0" xfId="0" applyFont="true" applyBorder="tru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true" applyProtection="false">
      <alignment horizontal="center" vertical="center" textRotation="0" wrapText="true" indent="0" shrinkToFit="false"/>
      <protection locked="true" hidden="false"/>
    </xf>
    <xf numFmtId="164" fontId="15" fillId="0" borderId="0" xfId="0" applyFont="true" applyBorder="false" applyAlignment="true" applyProtection="false">
      <alignment horizontal="center"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16" fillId="5" borderId="0" xfId="0" applyFont="true" applyBorder="false" applyAlignment="true" applyProtection="false">
      <alignment horizontal="center" vertical="center" textRotation="0" wrapText="true" indent="0" shrinkToFit="false"/>
      <protection locked="true" hidden="false"/>
    </xf>
    <xf numFmtId="164" fontId="17" fillId="0" borderId="0" xfId="0" applyFont="true" applyBorder="true" applyAlignment="false" applyProtection="false">
      <alignment horizontal="general" vertical="bottom" textRotation="0" wrapText="false" indent="0" shrinkToFit="false"/>
      <protection locked="true" hidden="false"/>
    </xf>
    <xf numFmtId="164" fontId="18" fillId="6" borderId="0" xfId="0" applyFont="true" applyBorder="true" applyAlignment="false" applyProtection="false">
      <alignment horizontal="general" vertical="bottom" textRotation="0" wrapText="false" indent="0" shrinkToFit="false"/>
      <protection locked="true" hidden="false"/>
    </xf>
    <xf numFmtId="164" fontId="19" fillId="0" borderId="1" xfId="0" applyFont="true" applyBorder="true" applyAlignment="true" applyProtection="false">
      <alignment horizontal="center" vertical="center" textRotation="0" wrapText="true" indent="0" shrinkToFit="false"/>
      <protection locked="true" hidden="false"/>
    </xf>
    <xf numFmtId="164" fontId="20" fillId="0" borderId="1" xfId="0" applyFont="true" applyBorder="true" applyAlignment="true" applyProtection="false">
      <alignment horizontal="left" vertical="center" textRotation="0" wrapText="true" indent="0" shrinkToFit="false"/>
      <protection locked="true" hidden="false"/>
    </xf>
    <xf numFmtId="164" fontId="21" fillId="4" borderId="1" xfId="0" applyFont="true" applyBorder="true" applyAlignment="true" applyProtection="false">
      <alignment horizontal="center" vertical="center" textRotation="0" wrapText="true" indent="0" shrinkToFit="false"/>
      <protection locked="true" hidden="false"/>
    </xf>
    <xf numFmtId="164" fontId="22" fillId="2" borderId="0" xfId="0" applyFont="true" applyBorder="true" applyAlignment="false" applyProtection="false">
      <alignment horizontal="general" vertical="bottom" textRotation="0" wrapText="false" indent="0" shrinkToFit="false"/>
      <protection locked="true" hidden="false"/>
    </xf>
    <xf numFmtId="164" fontId="23" fillId="0" borderId="1" xfId="0" applyFont="true" applyBorder="true" applyAlignment="true" applyProtection="false">
      <alignment horizontal="center" vertical="center" textRotation="0" wrapText="true" indent="0" shrinkToFit="false"/>
      <protection locked="true" hidden="false"/>
    </xf>
    <xf numFmtId="164" fontId="24" fillId="2"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false" applyAlignment="false" applyProtection="false">
      <alignment horizontal="general" vertical="bottom" textRotation="0" wrapText="false" indent="0" shrinkToFit="false"/>
      <protection locked="true" hidden="false"/>
    </xf>
    <xf numFmtId="165" fontId="26" fillId="6"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true" applyProtection="false">
      <alignment horizontal="center" vertical="center" textRotation="0" wrapText="true" indent="0" shrinkToFit="false"/>
      <protection locked="true" hidden="false"/>
    </xf>
    <xf numFmtId="165" fontId="27" fillId="7" borderId="1" xfId="0" applyFont="true" applyBorder="true" applyAlignment="true" applyProtection="false">
      <alignment horizontal="center" vertical="center" textRotation="0" wrapText="true" indent="0" shrinkToFit="false"/>
      <protection locked="true" hidden="false"/>
    </xf>
    <xf numFmtId="164" fontId="24"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center" vertical="center" textRotation="0" wrapText="true" indent="0" shrinkToFit="false"/>
      <protection locked="true" hidden="false"/>
    </xf>
    <xf numFmtId="164" fontId="28" fillId="8" borderId="1" xfId="0" applyFont="true" applyBorder="true" applyAlignment="true" applyProtection="false">
      <alignment horizontal="center" vertical="center" textRotation="0" wrapText="true" indent="0" shrinkToFit="false"/>
      <protection locked="true" hidden="false"/>
    </xf>
    <xf numFmtId="164" fontId="29" fillId="7" borderId="1" xfId="0" applyFont="true" applyBorder="true" applyAlignment="true" applyProtection="false">
      <alignment horizontal="center" vertical="center" textRotation="0" wrapText="true" indent="0" shrinkToFit="false"/>
      <protection locked="true" hidden="false"/>
    </xf>
    <xf numFmtId="164" fontId="19" fillId="6" borderId="1" xfId="0" applyFont="true" applyBorder="true" applyAlignment="true" applyProtection="false">
      <alignment horizontal="center" vertical="center" textRotation="0" wrapText="true" indent="0" shrinkToFit="false"/>
      <protection locked="true" hidden="false"/>
    </xf>
    <xf numFmtId="164" fontId="23" fillId="9" borderId="1" xfId="0" applyFont="true" applyBorder="true" applyAlignment="true" applyProtection="false">
      <alignment horizontal="center" vertical="center" textRotation="0" wrapText="true" indent="0" shrinkToFit="false"/>
      <protection locked="true" hidden="false"/>
    </xf>
    <xf numFmtId="164" fontId="13" fillId="2" borderId="3" xfId="0" applyFont="true" applyBorder="true" applyAlignment="true" applyProtection="false">
      <alignment horizontal="left" vertical="center" textRotation="0" wrapText="true" indent="0" shrinkToFit="false"/>
      <protection locked="true" hidden="false"/>
    </xf>
    <xf numFmtId="164" fontId="30" fillId="0" borderId="0" xfId="0" applyFont="true" applyBorder="true" applyAlignment="true" applyProtection="false">
      <alignment horizontal="left" vertical="center" textRotation="0" wrapText="true" indent="0" shrinkToFit="false"/>
      <protection locked="true" hidden="false"/>
    </xf>
    <xf numFmtId="164" fontId="5" fillId="4" borderId="1" xfId="0" applyFont="true" applyBorder="true" applyAlignment="true" applyProtection="false">
      <alignment horizontal="left" vertical="top" textRotation="0" wrapText="true" indent="0" shrinkToFit="false"/>
      <protection locked="true" hidden="false"/>
    </xf>
    <xf numFmtId="164" fontId="31" fillId="0" borderId="0"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center" textRotation="0" wrapText="true" indent="0" shrinkToFit="false"/>
      <protection locked="true" hidden="false"/>
    </xf>
    <xf numFmtId="164" fontId="12" fillId="4" borderId="1" xfId="0" applyFont="true" applyBorder="true" applyAlignment="true" applyProtection="false">
      <alignment horizontal="left" vertical="center" textRotation="0" wrapText="true" indent="0" shrinkToFit="false"/>
      <protection locked="true" hidden="false"/>
    </xf>
    <xf numFmtId="164" fontId="32" fillId="0" borderId="0" xfId="0" applyFont="true" applyBorder="false" applyAlignment="true" applyProtection="false">
      <alignment horizontal="center" vertical="center" textRotation="0" wrapText="true" indent="0" shrinkToFit="false"/>
      <protection locked="true" hidden="false"/>
    </xf>
    <xf numFmtId="164" fontId="33" fillId="0" borderId="0" xfId="0" applyFont="true" applyBorder="false" applyAlignment="true" applyProtection="false">
      <alignment horizontal="center" vertical="center" textRotation="0" wrapText="true" indent="0" shrinkToFit="false"/>
      <protection locked="true" hidden="false"/>
    </xf>
    <xf numFmtId="164" fontId="34" fillId="0" borderId="0" xfId="0" applyFont="true" applyBorder="false" applyAlignment="true" applyProtection="false">
      <alignment horizontal="center" vertical="center" textRotation="0" wrapText="tru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35" fillId="0" borderId="0" xfId="0" applyFont="true" applyBorder="false" applyAlignment="true" applyProtection="false">
      <alignment horizontal="center" vertical="center" textRotation="0" wrapText="true" indent="0" shrinkToFit="false"/>
      <protection locked="true" hidden="false"/>
    </xf>
    <xf numFmtId="166" fontId="4" fillId="5" borderId="1" xfId="0" applyFont="true" applyBorder="true" applyAlignment="true" applyProtection="false">
      <alignment horizontal="center" vertical="center" textRotation="0" wrapText="tru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xf numFmtId="164" fontId="13" fillId="5" borderId="1"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B7791F"/>
      <rgbColor rgb="FF800080"/>
      <rgbColor rgb="FF008080"/>
      <rgbColor rgb="FFCCCCCC"/>
      <rgbColor rgb="FF808080"/>
      <rgbColor rgb="FF9999FF"/>
      <rgbColor rgb="FF993366"/>
      <rgbColor rgb="FFFFF8DC"/>
      <rgbColor rgb="FFE8F4E8"/>
      <rgbColor rgb="FF660066"/>
      <rgbColor rgb="FFFF8080"/>
      <rgbColor rgb="FF0066CC"/>
      <rgbColor rgb="FFF7F9FB"/>
      <rgbColor rgb="FF000080"/>
      <rgbColor rgb="FFFF00FF"/>
      <rgbColor rgb="FFFFFF00"/>
      <rgbColor rgb="FF00FFFF"/>
      <rgbColor rgb="FF800080"/>
      <rgbColor rgb="FF800000"/>
      <rgbColor rgb="FF008080"/>
      <rgbColor rgb="FF0000FF"/>
      <rgbColor rgb="FF00CCFF"/>
      <rgbColor rgb="FFE8EEF4"/>
      <rgbColor rgb="FFDCEEDC"/>
      <rgbColor rgb="FFFFF4D6"/>
      <rgbColor rgb="FF99CCFF"/>
      <rgbColor rgb="FFFF99CC"/>
      <rgbColor rgb="FFCC99FF"/>
      <rgbColor rgb="FFFDE7E9"/>
      <rgbColor rgb="FF2E75B6"/>
      <rgbColor rgb="FF33CCCC"/>
      <rgbColor rgb="FF99CC00"/>
      <rgbColor rgb="FFFFCC00"/>
      <rgbColor rgb="FFFF9900"/>
      <rgbColor rgb="FFFF6600"/>
      <rgbColor rgb="FF6B7280"/>
      <rgbColor rgb="FF969696"/>
      <rgbColor rgb="FF1F3A5F"/>
      <rgbColor rgb="FF2E7D32"/>
      <rgbColor rgb="FF003300"/>
      <rgbColor rgb="FF333300"/>
      <rgbColor rgb="FFB91C1C"/>
      <rgbColor rgb="FF993366"/>
      <rgbColor rgb="FF333399"/>
      <rgbColor rgb="FF2D2D2D"/>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1F3A5F"/>
    <pageSetUpPr fitToPage="false"/>
  </sheetPr>
  <dimension ref="A1:K29"/>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5"/>
    <col collapsed="false" customWidth="true" hidden="false" outlineLevel="0" max="2" min="2" style="0" width="30"/>
    <col collapsed="false" customWidth="true" hidden="false" outlineLevel="0" max="3" min="3" style="0" width="50"/>
    <col collapsed="false" customWidth="true" hidden="false" outlineLevel="0" max="4" min="4" style="0" width="18"/>
    <col collapsed="false" customWidth="true" hidden="false" outlineLevel="0" max="5" min="5" style="0" width="26"/>
    <col collapsed="false" customWidth="true" hidden="false" outlineLevel="0" max="6" min="6" style="0" width="30"/>
    <col collapsed="false" customWidth="true" hidden="false" outlineLevel="0" max="7" min="7" style="0" width="12"/>
    <col collapsed="false" customWidth="true" hidden="false" outlineLevel="0" max="8" min="8" style="0" width="11"/>
    <col collapsed="false" customWidth="true" hidden="false" outlineLevel="0" max="9" min="9" style="0" width="28"/>
    <col collapsed="false" customWidth="true" hidden="false" outlineLevel="0" max="10" min="10" style="0" width="14"/>
    <col collapsed="false" customWidth="true" hidden="false" outlineLevel="0" max="11" min="11" style="0" width="24"/>
  </cols>
  <sheetData>
    <row r="1" customFormat="false" ht="27.75" hidden="false" customHeight="true" outlineLevel="0" collapsed="false">
      <c r="A1" s="1" t="s">
        <v>0</v>
      </c>
      <c r="B1" s="1"/>
      <c r="C1" s="1"/>
      <c r="D1" s="1"/>
      <c r="E1" s="1"/>
      <c r="F1" s="1"/>
      <c r="G1" s="1"/>
      <c r="H1" s="1"/>
      <c r="I1" s="1"/>
      <c r="J1" s="1"/>
      <c r="K1" s="1"/>
    </row>
    <row r="2" customFormat="false" ht="15" hidden="false" customHeight="false" outlineLevel="0" collapsed="false">
      <c r="A2" s="2" t="s">
        <v>1</v>
      </c>
      <c r="B2" s="2"/>
      <c r="C2" s="2"/>
      <c r="D2" s="2"/>
      <c r="E2" s="2"/>
      <c r="F2" s="2"/>
      <c r="G2" s="2"/>
      <c r="H2" s="2"/>
      <c r="I2" s="2"/>
      <c r="J2" s="2"/>
      <c r="K2" s="2"/>
    </row>
    <row r="4" customFormat="false" ht="31.5" hidden="false" customHeight="true" outlineLevel="0" collapsed="false">
      <c r="A4" s="3" t="s">
        <v>2</v>
      </c>
      <c r="B4" s="3" t="s">
        <v>3</v>
      </c>
      <c r="C4" s="3" t="s">
        <v>4</v>
      </c>
      <c r="D4" s="3" t="s">
        <v>5</v>
      </c>
      <c r="E4" s="3" t="s">
        <v>6</v>
      </c>
      <c r="F4" s="3" t="s">
        <v>7</v>
      </c>
      <c r="G4" s="3" t="s">
        <v>8</v>
      </c>
      <c r="H4" s="3" t="s">
        <v>9</v>
      </c>
      <c r="I4" s="3" t="s">
        <v>10</v>
      </c>
      <c r="J4" s="3" t="s">
        <v>11</v>
      </c>
      <c r="K4" s="3" t="s">
        <v>12</v>
      </c>
    </row>
    <row r="5" customFormat="false" ht="25.5" hidden="false" customHeight="true" outlineLevel="0" collapsed="false">
      <c r="A5" s="4" t="s">
        <v>13</v>
      </c>
      <c r="B5" s="4"/>
      <c r="C5" s="4"/>
      <c r="D5" s="4"/>
      <c r="E5" s="4"/>
      <c r="F5" s="4"/>
      <c r="G5" s="4"/>
      <c r="H5" s="4"/>
      <c r="I5" s="4"/>
      <c r="J5" s="4"/>
      <c r="K5" s="4"/>
    </row>
    <row r="6" customFormat="false" ht="79.5" hidden="false" customHeight="true" outlineLevel="0" collapsed="false">
      <c r="A6" s="5" t="n">
        <v>1</v>
      </c>
      <c r="B6" s="6" t="s">
        <v>14</v>
      </c>
      <c r="C6" s="7" t="s">
        <v>15</v>
      </c>
      <c r="D6" s="7" t="s">
        <v>16</v>
      </c>
      <c r="E6" s="7" t="s">
        <v>17</v>
      </c>
      <c r="F6" s="7" t="s">
        <v>18</v>
      </c>
      <c r="G6" s="8" t="s">
        <v>19</v>
      </c>
      <c r="H6" s="9" t="n">
        <v>5</v>
      </c>
      <c r="I6" s="7" t="s">
        <v>20</v>
      </c>
      <c r="J6" s="10"/>
      <c r="K6" s="11"/>
    </row>
    <row r="7" customFormat="false" ht="79.5" hidden="false" customHeight="true" outlineLevel="0" collapsed="false">
      <c r="A7" s="5" t="n">
        <v>2</v>
      </c>
      <c r="B7" s="6" t="s">
        <v>21</v>
      </c>
      <c r="C7" s="7" t="s">
        <v>22</v>
      </c>
      <c r="D7" s="7" t="s">
        <v>23</v>
      </c>
      <c r="E7" s="7" t="s">
        <v>24</v>
      </c>
      <c r="F7" s="7" t="s">
        <v>25</v>
      </c>
      <c r="G7" s="8" t="s">
        <v>19</v>
      </c>
      <c r="H7" s="9" t="n">
        <v>5</v>
      </c>
      <c r="I7" s="7" t="s">
        <v>26</v>
      </c>
      <c r="J7" s="10"/>
      <c r="K7" s="11"/>
    </row>
    <row r="8" customFormat="false" ht="79.5" hidden="false" customHeight="true" outlineLevel="0" collapsed="false">
      <c r="A8" s="5" t="n">
        <v>3</v>
      </c>
      <c r="B8" s="6" t="s">
        <v>27</v>
      </c>
      <c r="C8" s="7" t="s">
        <v>28</v>
      </c>
      <c r="D8" s="7" t="s">
        <v>29</v>
      </c>
      <c r="E8" s="7" t="s">
        <v>30</v>
      </c>
      <c r="F8" s="7" t="s">
        <v>31</v>
      </c>
      <c r="G8" s="8" t="s">
        <v>32</v>
      </c>
      <c r="H8" s="9" t="n">
        <v>4</v>
      </c>
      <c r="I8" s="7" t="s">
        <v>33</v>
      </c>
      <c r="J8" s="10"/>
      <c r="K8" s="11"/>
    </row>
    <row r="9" customFormat="false" ht="25.5" hidden="false" customHeight="true" outlineLevel="0" collapsed="false">
      <c r="A9" s="4" t="s">
        <v>34</v>
      </c>
      <c r="B9" s="4"/>
      <c r="C9" s="4"/>
      <c r="D9" s="4"/>
      <c r="E9" s="4"/>
      <c r="F9" s="4"/>
      <c r="G9" s="4"/>
      <c r="H9" s="4"/>
      <c r="I9" s="4"/>
      <c r="J9" s="4"/>
      <c r="K9" s="4"/>
    </row>
    <row r="10" customFormat="false" ht="79.5" hidden="false" customHeight="true" outlineLevel="0" collapsed="false">
      <c r="A10" s="5" t="n">
        <v>4</v>
      </c>
      <c r="B10" s="6" t="s">
        <v>35</v>
      </c>
      <c r="C10" s="7" t="s">
        <v>36</v>
      </c>
      <c r="D10" s="7" t="s">
        <v>37</v>
      </c>
      <c r="E10" s="7" t="s">
        <v>38</v>
      </c>
      <c r="F10" s="7" t="s">
        <v>39</v>
      </c>
      <c r="G10" s="8" t="s">
        <v>19</v>
      </c>
      <c r="H10" s="9" t="n">
        <v>5</v>
      </c>
      <c r="I10" s="7" t="s">
        <v>40</v>
      </c>
      <c r="J10" s="10"/>
      <c r="K10" s="11"/>
    </row>
    <row r="11" customFormat="false" ht="79.5" hidden="false" customHeight="true" outlineLevel="0" collapsed="false">
      <c r="A11" s="5" t="n">
        <v>5</v>
      </c>
      <c r="B11" s="6" t="s">
        <v>41</v>
      </c>
      <c r="C11" s="7" t="s">
        <v>42</v>
      </c>
      <c r="D11" s="7" t="s">
        <v>16</v>
      </c>
      <c r="E11" s="7" t="s">
        <v>43</v>
      </c>
      <c r="F11" s="7" t="s">
        <v>44</v>
      </c>
      <c r="G11" s="8" t="s">
        <v>32</v>
      </c>
      <c r="H11" s="9" t="n">
        <v>5</v>
      </c>
      <c r="I11" s="7" t="s">
        <v>45</v>
      </c>
      <c r="J11" s="10"/>
      <c r="K11" s="11"/>
    </row>
    <row r="12" customFormat="false" ht="79.5" hidden="false" customHeight="true" outlineLevel="0" collapsed="false">
      <c r="A12" s="5" t="n">
        <v>6</v>
      </c>
      <c r="B12" s="6" t="s">
        <v>46</v>
      </c>
      <c r="C12" s="7" t="s">
        <v>47</v>
      </c>
      <c r="D12" s="7" t="s">
        <v>48</v>
      </c>
      <c r="E12" s="7" t="s">
        <v>49</v>
      </c>
      <c r="F12" s="7" t="s">
        <v>50</v>
      </c>
      <c r="G12" s="8" t="s">
        <v>32</v>
      </c>
      <c r="H12" s="9" t="n">
        <v>4</v>
      </c>
      <c r="I12" s="7" t="s">
        <v>51</v>
      </c>
      <c r="J12" s="10"/>
      <c r="K12" s="11"/>
    </row>
    <row r="13" customFormat="false" ht="25.5" hidden="false" customHeight="true" outlineLevel="0" collapsed="false">
      <c r="A13" s="4" t="s">
        <v>52</v>
      </c>
      <c r="B13" s="4"/>
      <c r="C13" s="4"/>
      <c r="D13" s="4"/>
      <c r="E13" s="4"/>
      <c r="F13" s="4"/>
      <c r="G13" s="4"/>
      <c r="H13" s="4"/>
      <c r="I13" s="4"/>
      <c r="J13" s="4"/>
      <c r="K13" s="4"/>
    </row>
    <row r="14" customFormat="false" ht="79.5" hidden="false" customHeight="true" outlineLevel="0" collapsed="false">
      <c r="A14" s="5" t="n">
        <v>7</v>
      </c>
      <c r="B14" s="6" t="s">
        <v>53</v>
      </c>
      <c r="C14" s="7" t="s">
        <v>54</v>
      </c>
      <c r="D14" s="7" t="s">
        <v>55</v>
      </c>
      <c r="E14" s="7" t="s">
        <v>56</v>
      </c>
      <c r="F14" s="7" t="s">
        <v>57</v>
      </c>
      <c r="G14" s="8" t="s">
        <v>32</v>
      </c>
      <c r="H14" s="9" t="n">
        <v>4</v>
      </c>
      <c r="I14" s="7" t="s">
        <v>58</v>
      </c>
      <c r="J14" s="10"/>
      <c r="K14" s="11"/>
    </row>
    <row r="15" customFormat="false" ht="79.5" hidden="false" customHeight="true" outlineLevel="0" collapsed="false">
      <c r="A15" s="5" t="n">
        <v>8</v>
      </c>
      <c r="B15" s="6" t="s">
        <v>59</v>
      </c>
      <c r="C15" s="7" t="s">
        <v>60</v>
      </c>
      <c r="D15" s="7" t="s">
        <v>61</v>
      </c>
      <c r="E15" s="7" t="s">
        <v>62</v>
      </c>
      <c r="F15" s="7" t="s">
        <v>63</v>
      </c>
      <c r="G15" s="8" t="s">
        <v>19</v>
      </c>
      <c r="H15" s="9" t="n">
        <v>5</v>
      </c>
      <c r="I15" s="7" t="s">
        <v>64</v>
      </c>
      <c r="J15" s="10"/>
      <c r="K15" s="11"/>
    </row>
    <row r="16" customFormat="false" ht="79.5" hidden="false" customHeight="true" outlineLevel="0" collapsed="false">
      <c r="A16" s="5" t="n">
        <v>9</v>
      </c>
      <c r="B16" s="6" t="s">
        <v>65</v>
      </c>
      <c r="C16" s="7" t="s">
        <v>66</v>
      </c>
      <c r="D16" s="7" t="s">
        <v>67</v>
      </c>
      <c r="E16" s="7" t="s">
        <v>68</v>
      </c>
      <c r="F16" s="7" t="s">
        <v>69</v>
      </c>
      <c r="G16" s="8" t="s">
        <v>32</v>
      </c>
      <c r="H16" s="9" t="n">
        <v>3</v>
      </c>
      <c r="I16" s="7" t="s">
        <v>70</v>
      </c>
      <c r="J16" s="10"/>
      <c r="K16" s="11"/>
    </row>
    <row r="17" customFormat="false" ht="25.5" hidden="false" customHeight="true" outlineLevel="0" collapsed="false">
      <c r="A17" s="4" t="s">
        <v>71</v>
      </c>
      <c r="B17" s="4"/>
      <c r="C17" s="4"/>
      <c r="D17" s="4"/>
      <c r="E17" s="4"/>
      <c r="F17" s="4"/>
      <c r="G17" s="4"/>
      <c r="H17" s="4"/>
      <c r="I17" s="4"/>
      <c r="J17" s="4"/>
      <c r="K17" s="4"/>
    </row>
    <row r="18" customFormat="false" ht="79.5" hidden="false" customHeight="true" outlineLevel="0" collapsed="false">
      <c r="A18" s="5" t="n">
        <v>10</v>
      </c>
      <c r="B18" s="6" t="s">
        <v>72</v>
      </c>
      <c r="C18" s="7" t="s">
        <v>73</v>
      </c>
      <c r="D18" s="7" t="s">
        <v>61</v>
      </c>
      <c r="E18" s="7" t="s">
        <v>74</v>
      </c>
      <c r="F18" s="7" t="s">
        <v>75</v>
      </c>
      <c r="G18" s="8" t="s">
        <v>19</v>
      </c>
      <c r="H18" s="9" t="n">
        <v>4</v>
      </c>
      <c r="I18" s="7" t="s">
        <v>76</v>
      </c>
      <c r="J18" s="10"/>
      <c r="K18" s="11"/>
    </row>
    <row r="19" customFormat="false" ht="79.5" hidden="false" customHeight="true" outlineLevel="0" collapsed="false">
      <c r="A19" s="5" t="n">
        <v>11</v>
      </c>
      <c r="B19" s="6" t="s">
        <v>77</v>
      </c>
      <c r="C19" s="7" t="s">
        <v>78</v>
      </c>
      <c r="D19" s="7" t="s">
        <v>16</v>
      </c>
      <c r="E19" s="7" t="s">
        <v>79</v>
      </c>
      <c r="F19" s="7" t="s">
        <v>80</v>
      </c>
      <c r="G19" s="8" t="s">
        <v>32</v>
      </c>
      <c r="H19" s="9" t="n">
        <v>4</v>
      </c>
      <c r="I19" s="7" t="s">
        <v>81</v>
      </c>
      <c r="J19" s="10"/>
      <c r="K19" s="11"/>
    </row>
    <row r="20" customFormat="false" ht="79.5" hidden="false" customHeight="true" outlineLevel="0" collapsed="false">
      <c r="A20" s="5" t="n">
        <v>12</v>
      </c>
      <c r="B20" s="6" t="s">
        <v>82</v>
      </c>
      <c r="C20" s="7" t="s">
        <v>83</v>
      </c>
      <c r="D20" s="7" t="s">
        <v>61</v>
      </c>
      <c r="E20" s="7" t="s">
        <v>84</v>
      </c>
      <c r="F20" s="7" t="s">
        <v>85</v>
      </c>
      <c r="G20" s="8" t="s">
        <v>19</v>
      </c>
      <c r="H20" s="9" t="n">
        <v>4</v>
      </c>
      <c r="I20" s="7" t="s">
        <v>86</v>
      </c>
      <c r="J20" s="10"/>
      <c r="K20" s="11"/>
    </row>
    <row r="21" customFormat="false" ht="25.5" hidden="false" customHeight="true" outlineLevel="0" collapsed="false">
      <c r="A21" s="4" t="s">
        <v>87</v>
      </c>
      <c r="B21" s="4"/>
      <c r="C21" s="4"/>
      <c r="D21" s="4"/>
      <c r="E21" s="4"/>
      <c r="F21" s="4"/>
      <c r="G21" s="4"/>
      <c r="H21" s="4"/>
      <c r="I21" s="4"/>
      <c r="J21" s="4"/>
      <c r="K21" s="4"/>
    </row>
    <row r="22" customFormat="false" ht="79.5" hidden="false" customHeight="true" outlineLevel="0" collapsed="false">
      <c r="A22" s="5" t="n">
        <v>13</v>
      </c>
      <c r="B22" s="6" t="s">
        <v>88</v>
      </c>
      <c r="C22" s="7" t="s">
        <v>89</v>
      </c>
      <c r="D22" s="7" t="s">
        <v>16</v>
      </c>
      <c r="E22" s="7" t="s">
        <v>90</v>
      </c>
      <c r="F22" s="7" t="s">
        <v>91</v>
      </c>
      <c r="G22" s="8" t="s">
        <v>32</v>
      </c>
      <c r="H22" s="9" t="n">
        <v>5</v>
      </c>
      <c r="I22" s="7" t="s">
        <v>92</v>
      </c>
      <c r="J22" s="10"/>
      <c r="K22" s="11"/>
    </row>
    <row r="23" customFormat="false" ht="79.5" hidden="false" customHeight="true" outlineLevel="0" collapsed="false">
      <c r="A23" s="5" t="n">
        <v>14</v>
      </c>
      <c r="B23" s="6" t="s">
        <v>93</v>
      </c>
      <c r="C23" s="7" t="s">
        <v>94</v>
      </c>
      <c r="D23" s="7" t="s">
        <v>16</v>
      </c>
      <c r="E23" s="7" t="s">
        <v>95</v>
      </c>
      <c r="F23" s="7" t="s">
        <v>96</v>
      </c>
      <c r="G23" s="8" t="s">
        <v>32</v>
      </c>
      <c r="H23" s="9" t="n">
        <v>5</v>
      </c>
      <c r="I23" s="7" t="s">
        <v>97</v>
      </c>
      <c r="J23" s="10"/>
      <c r="K23" s="11"/>
    </row>
    <row r="24" customFormat="false" ht="79.5" hidden="false" customHeight="true" outlineLevel="0" collapsed="false">
      <c r="A24" s="5" t="n">
        <v>15</v>
      </c>
      <c r="B24" s="6" t="s">
        <v>98</v>
      </c>
      <c r="C24" s="7" t="s">
        <v>99</v>
      </c>
      <c r="D24" s="7" t="s">
        <v>23</v>
      </c>
      <c r="E24" s="7" t="s">
        <v>100</v>
      </c>
      <c r="F24" s="7" t="s">
        <v>101</v>
      </c>
      <c r="G24" s="8" t="s">
        <v>32</v>
      </c>
      <c r="H24" s="9" t="n">
        <v>4</v>
      </c>
      <c r="I24" s="7" t="s">
        <v>102</v>
      </c>
      <c r="J24" s="10"/>
      <c r="K24" s="11"/>
    </row>
    <row r="26" customFormat="false" ht="15" hidden="false" customHeight="false" outlineLevel="0" collapsed="false">
      <c r="A26" s="12" t="s">
        <v>103</v>
      </c>
      <c r="B26" s="12"/>
      <c r="C26" s="12"/>
      <c r="D26" s="12"/>
    </row>
    <row r="27" customFormat="false" ht="17.35" hidden="false" customHeight="false" outlineLevel="0" collapsed="false">
      <c r="A27" s="13" t="s">
        <v>104</v>
      </c>
      <c r="B27" s="14" t="n">
        <f aca="false">COUNTIF(J5:J24,"Sí")</f>
        <v>0</v>
      </c>
    </row>
    <row r="28" customFormat="false" ht="17.35" hidden="false" customHeight="false" outlineLevel="0" collapsed="false">
      <c r="A28" s="13" t="s">
        <v>105</v>
      </c>
      <c r="B28" s="15" t="n">
        <f aca="false">COUNTIF(J5:J24,"Tal vez")</f>
        <v>0</v>
      </c>
    </row>
    <row r="29" customFormat="false" ht="17.35" hidden="false" customHeight="false" outlineLevel="0" collapsed="false">
      <c r="A29" s="16" t="s">
        <v>106</v>
      </c>
      <c r="B29" s="17" t="n">
        <f aca="false">COUNTIF(J5:J24,"Sí")+COUNTIF(J5:J24,"Tal vez")</f>
        <v>0</v>
      </c>
    </row>
  </sheetData>
  <mergeCells count="8">
    <mergeCell ref="A1:K1"/>
    <mergeCell ref="A2:K2"/>
    <mergeCell ref="A5:K5"/>
    <mergeCell ref="A9:K9"/>
    <mergeCell ref="A13:K13"/>
    <mergeCell ref="A17:K17"/>
    <mergeCell ref="A21:K21"/>
    <mergeCell ref="A26:D26"/>
  </mergeCells>
  <dataValidations count="1">
    <dataValidation allowBlank="true" errorStyle="stop" operator="between" showDropDown="false" showErrorMessage="false" showInputMessage="false" sqref="J5:J24" type="list">
      <formula1>"Sí,No,Tal vez"</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75B6"/>
    <pageSetUpPr fitToPage="false"/>
  </sheetPr>
  <dimension ref="A1:E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60"/>
    <col collapsed="false" customWidth="true" hidden="false" outlineLevel="0" max="3" min="3" style="0" width="24"/>
  </cols>
  <sheetData>
    <row r="1" customFormat="false" ht="27.75" hidden="false" customHeight="true" outlineLevel="0" collapsed="false">
      <c r="A1" s="1" t="s">
        <v>107</v>
      </c>
      <c r="B1" s="1"/>
      <c r="C1" s="1"/>
      <c r="D1" s="1"/>
      <c r="E1" s="1"/>
    </row>
    <row r="2" customFormat="false" ht="15" hidden="false" customHeight="false" outlineLevel="0" collapsed="false">
      <c r="A2" s="2" t="s">
        <v>108</v>
      </c>
      <c r="B2" s="2"/>
      <c r="C2" s="2"/>
      <c r="D2" s="2"/>
      <c r="E2" s="2"/>
    </row>
    <row r="4" customFormat="false" ht="15" hidden="false" customHeight="false" outlineLevel="0" collapsed="false">
      <c r="A4" s="16" t="s">
        <v>109</v>
      </c>
      <c r="B4" s="18" t="s">
        <v>110</v>
      </c>
      <c r="C4" s="18"/>
      <c r="D4" s="18"/>
      <c r="E4" s="18"/>
    </row>
    <row r="6" customFormat="false" ht="15" hidden="false" customHeight="false" outlineLevel="0" collapsed="false">
      <c r="A6" s="3" t="s">
        <v>2</v>
      </c>
      <c r="B6" s="3" t="s">
        <v>111</v>
      </c>
      <c r="C6" s="3" t="s">
        <v>112</v>
      </c>
    </row>
    <row r="8" customFormat="false" ht="15" hidden="false" customHeight="false" outlineLevel="0" collapsed="false">
      <c r="A8" s="19" t="s">
        <v>113</v>
      </c>
      <c r="B8" s="19"/>
      <c r="C8" s="19"/>
    </row>
    <row r="9" customFormat="false" ht="30" hidden="false" customHeight="true" outlineLevel="0" collapsed="false">
      <c r="A9" s="20" t="s">
        <v>114</v>
      </c>
      <c r="B9" s="21" t="s">
        <v>115</v>
      </c>
      <c r="C9" s="22"/>
    </row>
    <row r="10" customFormat="false" ht="30" hidden="false" customHeight="true" outlineLevel="0" collapsed="false">
      <c r="A10" s="20" t="s">
        <v>116</v>
      </c>
      <c r="B10" s="21" t="s">
        <v>117</v>
      </c>
      <c r="C10" s="22"/>
    </row>
    <row r="11" customFormat="false" ht="30" hidden="false" customHeight="true" outlineLevel="0" collapsed="false">
      <c r="A11" s="20" t="s">
        <v>118</v>
      </c>
      <c r="B11" s="21" t="s">
        <v>119</v>
      </c>
      <c r="C11" s="22"/>
    </row>
    <row r="12" customFormat="false" ht="30" hidden="false" customHeight="true" outlineLevel="0" collapsed="false">
      <c r="A12" s="20" t="s">
        <v>120</v>
      </c>
      <c r="B12" s="21" t="s">
        <v>121</v>
      </c>
      <c r="C12" s="22"/>
    </row>
    <row r="14" customFormat="false" ht="15" hidden="false" customHeight="false" outlineLevel="0" collapsed="false">
      <c r="A14" s="23" t="s">
        <v>122</v>
      </c>
      <c r="B14" s="23"/>
      <c r="C14" s="23"/>
    </row>
    <row r="15" customFormat="false" ht="30" hidden="false" customHeight="true" outlineLevel="0" collapsed="false">
      <c r="A15" s="24" t="s">
        <v>123</v>
      </c>
      <c r="B15" s="21" t="s">
        <v>124</v>
      </c>
      <c r="C15" s="22"/>
    </row>
    <row r="16" customFormat="false" ht="30" hidden="false" customHeight="true" outlineLevel="0" collapsed="false">
      <c r="A16" s="24" t="s">
        <v>125</v>
      </c>
      <c r="B16" s="21" t="s">
        <v>126</v>
      </c>
      <c r="C16" s="22"/>
    </row>
    <row r="17" customFormat="false" ht="30" hidden="false" customHeight="true" outlineLevel="0" collapsed="false">
      <c r="A17" s="24" t="s">
        <v>127</v>
      </c>
      <c r="B17" s="21" t="s">
        <v>128</v>
      </c>
      <c r="C17" s="22"/>
    </row>
    <row r="18" customFormat="false" ht="30" hidden="false" customHeight="true" outlineLevel="0" collapsed="false">
      <c r="A18" s="24" t="s">
        <v>129</v>
      </c>
      <c r="B18" s="21" t="s">
        <v>130</v>
      </c>
      <c r="C18" s="22"/>
    </row>
    <row r="20" customFormat="false" ht="15" hidden="false" customHeight="false" outlineLevel="0" collapsed="false">
      <c r="A20" s="23" t="s">
        <v>131</v>
      </c>
      <c r="B20" s="23"/>
      <c r="C20" s="23"/>
    </row>
    <row r="21" customFormat="false" ht="30" hidden="false" customHeight="true" outlineLevel="0" collapsed="false">
      <c r="A21" s="24" t="s">
        <v>132</v>
      </c>
      <c r="B21" s="21" t="s">
        <v>133</v>
      </c>
      <c r="C21" s="22"/>
    </row>
    <row r="22" customFormat="false" ht="30" hidden="false" customHeight="true" outlineLevel="0" collapsed="false">
      <c r="A22" s="24" t="s">
        <v>134</v>
      </c>
      <c r="B22" s="21" t="s">
        <v>135</v>
      </c>
      <c r="C22" s="22"/>
    </row>
    <row r="23" customFormat="false" ht="30" hidden="false" customHeight="true" outlineLevel="0" collapsed="false">
      <c r="A23" s="24" t="s">
        <v>136</v>
      </c>
      <c r="B23" s="21" t="s">
        <v>137</v>
      </c>
      <c r="C23" s="22"/>
    </row>
    <row r="24" customFormat="false" ht="30" hidden="false" customHeight="true" outlineLevel="0" collapsed="false">
      <c r="A24" s="24" t="s">
        <v>138</v>
      </c>
      <c r="B24" s="21" t="s">
        <v>139</v>
      </c>
      <c r="C24" s="22"/>
    </row>
    <row r="26" customFormat="false" ht="15" hidden="false" customHeight="false" outlineLevel="0" collapsed="false">
      <c r="A26" s="23" t="s">
        <v>140</v>
      </c>
      <c r="B26" s="23"/>
      <c r="C26" s="23"/>
    </row>
    <row r="27" customFormat="false" ht="30" hidden="false" customHeight="true" outlineLevel="0" collapsed="false">
      <c r="A27" s="24" t="s">
        <v>141</v>
      </c>
      <c r="B27" s="21" t="s">
        <v>142</v>
      </c>
      <c r="C27" s="22"/>
    </row>
    <row r="28" customFormat="false" ht="30" hidden="false" customHeight="true" outlineLevel="0" collapsed="false">
      <c r="A28" s="24" t="s">
        <v>143</v>
      </c>
      <c r="B28" s="21" t="s">
        <v>144</v>
      </c>
      <c r="C28" s="22"/>
    </row>
    <row r="29" customFormat="false" ht="30" hidden="false" customHeight="true" outlineLevel="0" collapsed="false">
      <c r="A29" s="24" t="s">
        <v>145</v>
      </c>
      <c r="B29" s="21" t="s">
        <v>146</v>
      </c>
      <c r="C29" s="22"/>
    </row>
    <row r="30" customFormat="false" ht="30" hidden="false" customHeight="true" outlineLevel="0" collapsed="false">
      <c r="A30" s="24" t="s">
        <v>147</v>
      </c>
      <c r="B30" s="21" t="s">
        <v>148</v>
      </c>
      <c r="C30" s="22"/>
    </row>
    <row r="33" customFormat="false" ht="16.15" hidden="false" customHeight="false" outlineLevel="0" collapsed="false">
      <c r="A33" s="25" t="s">
        <v>149</v>
      </c>
      <c r="B33" s="25"/>
      <c r="C33" s="25"/>
    </row>
    <row r="34" customFormat="false" ht="19.7" hidden="false" customHeight="false" outlineLevel="0" collapsed="false">
      <c r="A34" s="26" t="s">
        <v>150</v>
      </c>
      <c r="B34" s="27" t="n">
        <f aca="false">IFERROR(AVERAGE(C9:C12),0)</f>
        <v>0</v>
      </c>
      <c r="C34" s="28" t="str">
        <f aca="false">IF(B34=0,"Sin datos",IF(B34&gt;=3.5,"Pain ALTO",IF(B34&gt;=2.5,"Pain MEDIO","Pain BAJO")))</f>
        <v>Sin datos</v>
      </c>
    </row>
    <row r="35" customFormat="false" ht="19.7" hidden="false" customHeight="false" outlineLevel="0" collapsed="false">
      <c r="A35" s="26" t="s">
        <v>151</v>
      </c>
      <c r="B35" s="29" t="n">
        <f aca="false">IFERROR(AVERAGE(C15:C18,C21:C24,C27:C30),0)</f>
        <v>0</v>
      </c>
      <c r="C35" s="28" t="str">
        <f aca="false">IF(B35=0,"Sin datos",IF(B35&gt;=3.5,"Readiness ALTA",IF(B35&gt;=2.5,"Readiness MEDIA","Readiness BAJA")))</f>
        <v>Sin datos</v>
      </c>
    </row>
    <row r="37" customFormat="false" ht="39.75" hidden="false" customHeight="true" outlineLevel="0" collapsed="false">
      <c r="A37" s="30" t="s">
        <v>152</v>
      </c>
      <c r="B37" s="31" t="str">
        <f aca="false">IF(OR(B34=0,B35=0),"Completa primero el cuestionario",IF(AND(B34&gt;=3.5,B35&gt;=3.5),"QUICK WIN PRIORITARIO — Avanzar ahora",IF(AND(B34&gt;=3.5,B35&lt;3.5),"INVERTIR EN STACK COMERCIAL PRIMERO — Pain alto pero falta readiness (revisa pestaña AI Sales Stack Maturity)",IF(AND(B34&lt;3.5,B35&gt;=3.5),"OPORTUNIDAD SIN URGENCIA — Capacidad sí, pain no","AÚN NO ES MOMENTO — Construir capacidad antes (revisa pestaña AI Sales Stack Maturity)"))))</f>
        <v>Completa primero el cuestionario</v>
      </c>
      <c r="C37" s="31"/>
    </row>
    <row r="40" customFormat="false" ht="16.15" hidden="false" customHeight="false" outlineLevel="0" collapsed="false">
      <c r="A40" s="25" t="s">
        <v>153</v>
      </c>
      <c r="B40" s="25"/>
      <c r="C40" s="25"/>
    </row>
    <row r="41" customFormat="false" ht="15" hidden="false" customHeight="false" outlineLevel="0" collapsed="false">
      <c r="B41" s="3" t="s">
        <v>154</v>
      </c>
      <c r="C41" s="3" t="s">
        <v>155</v>
      </c>
    </row>
    <row r="42" customFormat="false" ht="30" hidden="false" customHeight="true" outlineLevel="0" collapsed="false">
      <c r="A42" s="3" t="s">
        <v>156</v>
      </c>
      <c r="B42" s="32" t="s">
        <v>157</v>
      </c>
      <c r="C42" s="33" t="s">
        <v>158</v>
      </c>
    </row>
    <row r="43" customFormat="false" ht="30" hidden="false" customHeight="true" outlineLevel="0" collapsed="false">
      <c r="A43" s="3" t="s">
        <v>159</v>
      </c>
      <c r="B43" s="34" t="s">
        <v>160</v>
      </c>
      <c r="C43" s="35" t="s">
        <v>161</v>
      </c>
    </row>
  </sheetData>
  <mergeCells count="10">
    <mergeCell ref="A1:E1"/>
    <mergeCell ref="A2:E2"/>
    <mergeCell ref="B4:E4"/>
    <mergeCell ref="A8:C8"/>
    <mergeCell ref="A14:C14"/>
    <mergeCell ref="A20:C20"/>
    <mergeCell ref="A26:C26"/>
    <mergeCell ref="A33:C33"/>
    <mergeCell ref="B37:C37"/>
    <mergeCell ref="A40:C40"/>
  </mergeCells>
  <dataValidations count="1">
    <dataValidation allowBlank="true" error="Ingresa un valor entre 1 y 5" errorStyle="stop" errorTitle="Valor inválido" operator="between" showDropDown="false" showErrorMessage="false" showInputMessage="false" sqref="C9:C12 C15:C18 C21:C24 C27:C30" type="whole">
      <formula1>1</formula1>
      <formula2>5</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6B7280"/>
    <pageSetUpPr fitToPage="false"/>
  </sheetPr>
  <dimension ref="A1:D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4" min="1" style="0" width="30"/>
  </cols>
  <sheetData>
    <row r="1" customFormat="false" ht="27.75" hidden="false" customHeight="true" outlineLevel="0" collapsed="false">
      <c r="A1" s="1" t="s">
        <v>162</v>
      </c>
      <c r="B1" s="1"/>
      <c r="C1" s="1"/>
      <c r="D1" s="1"/>
    </row>
    <row r="2" customFormat="false" ht="15" hidden="false" customHeight="false" outlineLevel="0" collapsed="false">
      <c r="A2" s="2" t="s">
        <v>163</v>
      </c>
      <c r="B2" s="2"/>
      <c r="C2" s="2"/>
      <c r="D2" s="2"/>
    </row>
    <row r="4" customFormat="false" ht="15" hidden="false" customHeight="true" outlineLevel="0" collapsed="false">
      <c r="A4" s="36" t="s">
        <v>164</v>
      </c>
      <c r="B4" s="36"/>
      <c r="C4" s="36"/>
      <c r="D4" s="36"/>
    </row>
    <row r="5" customFormat="false" ht="15" hidden="false" customHeight="true" outlineLevel="0" collapsed="false">
      <c r="A5" s="37" t="s">
        <v>165</v>
      </c>
      <c r="B5" s="37"/>
      <c r="C5" s="37"/>
      <c r="D5" s="37"/>
    </row>
    <row r="6" customFormat="false" ht="37.5" hidden="false" customHeight="true" outlineLevel="0" collapsed="false">
      <c r="A6" s="38" t="s">
        <v>166</v>
      </c>
      <c r="B6" s="38"/>
      <c r="C6" s="38"/>
      <c r="D6" s="38"/>
    </row>
    <row r="7" customFormat="false" ht="15" hidden="false" customHeight="true" outlineLevel="0" collapsed="false">
      <c r="A7" s="36" t="s">
        <v>167</v>
      </c>
      <c r="B7" s="36"/>
      <c r="C7" s="36"/>
      <c r="D7" s="36"/>
    </row>
    <row r="8" customFormat="false" ht="15" hidden="false" customHeight="true" outlineLevel="0" collapsed="false">
      <c r="A8" s="37" t="s">
        <v>168</v>
      </c>
      <c r="B8" s="37"/>
      <c r="C8" s="37"/>
      <c r="D8" s="37"/>
    </row>
    <row r="9" customFormat="false" ht="37.5" hidden="false" customHeight="true" outlineLevel="0" collapsed="false">
      <c r="A9" s="38" t="s">
        <v>169</v>
      </c>
      <c r="B9" s="38"/>
      <c r="C9" s="38"/>
      <c r="D9" s="38"/>
    </row>
    <row r="10" customFormat="false" ht="15" hidden="false" customHeight="true" outlineLevel="0" collapsed="false">
      <c r="A10" s="36" t="s">
        <v>170</v>
      </c>
      <c r="B10" s="36"/>
      <c r="C10" s="36"/>
      <c r="D10" s="36"/>
    </row>
    <row r="11" customFormat="false" ht="15" hidden="false" customHeight="true" outlineLevel="0" collapsed="false">
      <c r="A11" s="37" t="s">
        <v>171</v>
      </c>
      <c r="B11" s="37"/>
      <c r="C11" s="37"/>
      <c r="D11" s="37"/>
    </row>
    <row r="12" customFormat="false" ht="37.5" hidden="false" customHeight="true" outlineLevel="0" collapsed="false">
      <c r="A12" s="38" t="s">
        <v>172</v>
      </c>
      <c r="B12" s="38"/>
      <c r="C12" s="38"/>
      <c r="D12" s="38"/>
    </row>
    <row r="13" customFormat="false" ht="15" hidden="false" customHeight="true" outlineLevel="0" collapsed="false">
      <c r="A13" s="36" t="s">
        <v>173</v>
      </c>
      <c r="B13" s="36"/>
      <c r="C13" s="36"/>
      <c r="D13" s="36"/>
    </row>
    <row r="14" customFormat="false" ht="15" hidden="false" customHeight="true" outlineLevel="0" collapsed="false">
      <c r="A14" s="37" t="s">
        <v>174</v>
      </c>
      <c r="B14" s="37"/>
      <c r="C14" s="37"/>
      <c r="D14" s="37"/>
    </row>
    <row r="15" customFormat="false" ht="37.5" hidden="false" customHeight="true" outlineLevel="0" collapsed="false">
      <c r="A15" s="38" t="s">
        <v>175</v>
      </c>
      <c r="B15" s="38"/>
      <c r="C15" s="38"/>
      <c r="D15" s="38"/>
    </row>
    <row r="16" customFormat="false" ht="15" hidden="false" customHeight="true" outlineLevel="0" collapsed="false">
      <c r="A16" s="36" t="s">
        <v>176</v>
      </c>
      <c r="B16" s="36"/>
      <c r="C16" s="36"/>
      <c r="D16" s="36"/>
    </row>
    <row r="17" customFormat="false" ht="15" hidden="false" customHeight="true" outlineLevel="0" collapsed="false">
      <c r="A17" s="37" t="s">
        <v>177</v>
      </c>
      <c r="B17" s="37"/>
      <c r="C17" s="37"/>
      <c r="D17" s="37"/>
    </row>
    <row r="18" customFormat="false" ht="37.5" hidden="false" customHeight="true" outlineLevel="0" collapsed="false">
      <c r="A18" s="38" t="s">
        <v>178</v>
      </c>
      <c r="B18" s="38"/>
      <c r="C18" s="38"/>
      <c r="D18" s="38"/>
    </row>
    <row r="19" customFormat="false" ht="15" hidden="false" customHeight="true" outlineLevel="0" collapsed="false">
      <c r="A19" s="36" t="s">
        <v>179</v>
      </c>
      <c r="B19" s="36"/>
      <c r="C19" s="36"/>
      <c r="D19" s="36"/>
    </row>
    <row r="20" customFormat="false" ht="15" hidden="false" customHeight="true" outlineLevel="0" collapsed="false">
      <c r="A20" s="37" t="s">
        <v>180</v>
      </c>
      <c r="B20" s="37"/>
      <c r="C20" s="37"/>
      <c r="D20" s="37"/>
    </row>
    <row r="21" customFormat="false" ht="37.5" hidden="false" customHeight="true" outlineLevel="0" collapsed="false">
      <c r="A21" s="38" t="s">
        <v>181</v>
      </c>
      <c r="B21" s="38"/>
      <c r="C21" s="38"/>
      <c r="D21" s="38"/>
    </row>
    <row r="22" customFormat="false" ht="15" hidden="false" customHeight="true" outlineLevel="0" collapsed="false">
      <c r="A22" s="36" t="s">
        <v>182</v>
      </c>
      <c r="B22" s="36"/>
      <c r="C22" s="36"/>
      <c r="D22" s="36"/>
    </row>
    <row r="23" customFormat="false" ht="15" hidden="false" customHeight="true" outlineLevel="0" collapsed="false">
      <c r="A23" s="37" t="s">
        <v>183</v>
      </c>
      <c r="B23" s="37"/>
      <c r="C23" s="37"/>
      <c r="D23" s="37"/>
    </row>
    <row r="24" customFormat="false" ht="37.5" hidden="false" customHeight="true" outlineLevel="0" collapsed="false">
      <c r="A24" s="38" t="s">
        <v>184</v>
      </c>
      <c r="B24" s="38"/>
      <c r="C24" s="38"/>
      <c r="D24" s="38"/>
    </row>
    <row r="25" customFormat="false" ht="15" hidden="false" customHeight="true" outlineLevel="0" collapsed="false">
      <c r="A25" s="36" t="s">
        <v>185</v>
      </c>
      <c r="B25" s="36"/>
      <c r="C25" s="36"/>
      <c r="D25" s="36"/>
    </row>
    <row r="26" customFormat="false" ht="15" hidden="false" customHeight="true" outlineLevel="0" collapsed="false">
      <c r="A26" s="37" t="s">
        <v>186</v>
      </c>
      <c r="B26" s="37"/>
      <c r="C26" s="37"/>
      <c r="D26" s="37"/>
    </row>
    <row r="27" customFormat="false" ht="37.5" hidden="false" customHeight="true" outlineLevel="0" collapsed="false">
      <c r="A27" s="38" t="s">
        <v>187</v>
      </c>
      <c r="B27" s="38"/>
      <c r="C27" s="38"/>
      <c r="D27" s="38"/>
    </row>
    <row r="28" customFormat="false" ht="15" hidden="false" customHeight="true" outlineLevel="0" collapsed="false">
      <c r="A28" s="36" t="s">
        <v>188</v>
      </c>
      <c r="B28" s="36"/>
      <c r="C28" s="36"/>
      <c r="D28" s="36"/>
    </row>
    <row r="29" customFormat="false" ht="15" hidden="false" customHeight="true" outlineLevel="0" collapsed="false">
      <c r="A29" s="37" t="s">
        <v>189</v>
      </c>
      <c r="B29" s="37"/>
      <c r="C29" s="37"/>
      <c r="D29" s="37"/>
    </row>
    <row r="30" customFormat="false" ht="37.5" hidden="false" customHeight="true" outlineLevel="0" collapsed="false">
      <c r="A30" s="38" t="s">
        <v>190</v>
      </c>
      <c r="B30" s="38"/>
      <c r="C30" s="38"/>
      <c r="D30" s="38"/>
    </row>
    <row r="31" customFormat="false" ht="15" hidden="false" customHeight="true" outlineLevel="0" collapsed="false">
      <c r="A31" s="36" t="s">
        <v>191</v>
      </c>
      <c r="B31" s="36"/>
      <c r="C31" s="36"/>
      <c r="D31" s="36"/>
    </row>
    <row r="32" customFormat="false" ht="15" hidden="false" customHeight="true" outlineLevel="0" collapsed="false">
      <c r="A32" s="37" t="s">
        <v>192</v>
      </c>
      <c r="B32" s="37"/>
      <c r="C32" s="37"/>
      <c r="D32" s="37"/>
    </row>
    <row r="33" customFormat="false" ht="37.5" hidden="false" customHeight="true" outlineLevel="0" collapsed="false">
      <c r="A33" s="38" t="s">
        <v>193</v>
      </c>
      <c r="B33" s="38"/>
      <c r="C33" s="38"/>
      <c r="D33" s="38"/>
    </row>
    <row r="36" customFormat="false" ht="16.15" hidden="false" customHeight="false" outlineLevel="0" collapsed="false">
      <c r="A36" s="25" t="s">
        <v>194</v>
      </c>
      <c r="B36" s="25"/>
      <c r="C36" s="25"/>
      <c r="D36" s="25"/>
    </row>
    <row r="37" customFormat="false" ht="49.5" hidden="false" customHeight="true" outlineLevel="0" collapsed="false">
      <c r="A37" s="39" t="s">
        <v>195</v>
      </c>
      <c r="B37" s="39"/>
      <c r="C37" s="39"/>
      <c r="D37" s="39"/>
    </row>
  </sheetData>
  <mergeCells count="34">
    <mergeCell ref="A1:D1"/>
    <mergeCell ref="A2:D2"/>
    <mergeCell ref="A4:D4"/>
    <mergeCell ref="A5:D5"/>
    <mergeCell ref="A6:D6"/>
    <mergeCell ref="A7:D7"/>
    <mergeCell ref="A8:D8"/>
    <mergeCell ref="A9:D9"/>
    <mergeCell ref="A10:D10"/>
    <mergeCell ref="A11:D11"/>
    <mergeCell ref="A12:D12"/>
    <mergeCell ref="A13:D13"/>
    <mergeCell ref="A14:D14"/>
    <mergeCell ref="A15:D15"/>
    <mergeCell ref="A16:D16"/>
    <mergeCell ref="A17:D17"/>
    <mergeCell ref="A18:D18"/>
    <mergeCell ref="A19:D19"/>
    <mergeCell ref="A20:D20"/>
    <mergeCell ref="A21:D21"/>
    <mergeCell ref="A22:D22"/>
    <mergeCell ref="A23:D23"/>
    <mergeCell ref="A24:D24"/>
    <mergeCell ref="A25:D25"/>
    <mergeCell ref="A26:D26"/>
    <mergeCell ref="A27:D27"/>
    <mergeCell ref="A28:D28"/>
    <mergeCell ref="A29:D29"/>
    <mergeCell ref="A30:D30"/>
    <mergeCell ref="A31:D31"/>
    <mergeCell ref="A32:D32"/>
    <mergeCell ref="A33:D33"/>
    <mergeCell ref="A36:D36"/>
    <mergeCell ref="A37:D3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7791F"/>
    <pageSetUpPr fitToPage="false"/>
  </sheetPr>
  <dimension ref="A1:D3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60"/>
    <col collapsed="false" customWidth="true" hidden="false" outlineLevel="0" max="2" min="2" style="0" width="18"/>
    <col collapsed="false" customWidth="true" hidden="false" outlineLevel="0" max="3" min="3" style="0" width="36"/>
  </cols>
  <sheetData>
    <row r="1" customFormat="false" ht="27.75" hidden="false" customHeight="true" outlineLevel="0" collapsed="false">
      <c r="A1" s="1" t="s">
        <v>196</v>
      </c>
      <c r="B1" s="1"/>
      <c r="C1" s="1"/>
      <c r="D1" s="1"/>
    </row>
    <row r="2" customFormat="false" ht="30" hidden="false" customHeight="true" outlineLevel="0" collapsed="false">
      <c r="A2" s="2" t="s">
        <v>197</v>
      </c>
      <c r="B2" s="2"/>
      <c r="C2" s="2"/>
      <c r="D2" s="2"/>
    </row>
    <row r="4" customFormat="false" ht="15" hidden="false" customHeight="false" outlineLevel="0" collapsed="false">
      <c r="A4" s="3" t="s">
        <v>198</v>
      </c>
      <c r="B4" s="3" t="s">
        <v>199</v>
      </c>
      <c r="C4" s="3" t="s">
        <v>200</v>
      </c>
    </row>
    <row r="5" customFormat="false" ht="21.75" hidden="false" customHeight="true" outlineLevel="0" collapsed="false">
      <c r="A5" s="4" t="s">
        <v>201</v>
      </c>
      <c r="B5" s="4"/>
      <c r="C5" s="4"/>
    </row>
    <row r="6" customFormat="false" ht="21.75" hidden="false" customHeight="true" outlineLevel="0" collapsed="false">
      <c r="A6" s="40" t="s">
        <v>202</v>
      </c>
      <c r="B6" s="10"/>
      <c r="C6" s="41"/>
    </row>
    <row r="7" customFormat="false" ht="21.75" hidden="false" customHeight="true" outlineLevel="0" collapsed="false">
      <c r="A7" s="40" t="s">
        <v>203</v>
      </c>
      <c r="B7" s="10"/>
      <c r="C7" s="41"/>
    </row>
    <row r="8" customFormat="false" ht="21.75" hidden="false" customHeight="true" outlineLevel="0" collapsed="false">
      <c r="A8" s="40" t="s">
        <v>204</v>
      </c>
      <c r="B8" s="10"/>
      <c r="C8" s="41"/>
    </row>
    <row r="9" customFormat="false" ht="21.75" hidden="false" customHeight="true" outlineLevel="0" collapsed="false">
      <c r="A9" s="40" t="s">
        <v>205</v>
      </c>
      <c r="B9" s="10"/>
      <c r="C9" s="41"/>
    </row>
    <row r="10" customFormat="false" ht="21.75" hidden="false" customHeight="true" outlineLevel="0" collapsed="false">
      <c r="A10" s="4" t="s">
        <v>206</v>
      </c>
      <c r="B10" s="4"/>
      <c r="C10" s="4"/>
    </row>
    <row r="11" customFormat="false" ht="21.75" hidden="false" customHeight="true" outlineLevel="0" collapsed="false">
      <c r="A11" s="40" t="s">
        <v>207</v>
      </c>
      <c r="B11" s="10"/>
      <c r="C11" s="41"/>
    </row>
    <row r="12" customFormat="false" ht="21.75" hidden="false" customHeight="true" outlineLevel="0" collapsed="false">
      <c r="A12" s="40" t="s">
        <v>208</v>
      </c>
      <c r="B12" s="10"/>
      <c r="C12" s="41"/>
    </row>
    <row r="13" customFormat="false" ht="21.75" hidden="false" customHeight="true" outlineLevel="0" collapsed="false">
      <c r="A13" s="40" t="s">
        <v>209</v>
      </c>
      <c r="B13" s="10"/>
      <c r="C13" s="41"/>
    </row>
    <row r="14" customFormat="false" ht="21.75" hidden="false" customHeight="true" outlineLevel="0" collapsed="false">
      <c r="A14" s="40" t="s">
        <v>210</v>
      </c>
      <c r="B14" s="10"/>
      <c r="C14" s="41"/>
    </row>
    <row r="15" customFormat="false" ht="21.75" hidden="false" customHeight="true" outlineLevel="0" collapsed="false">
      <c r="A15" s="4" t="s">
        <v>211</v>
      </c>
      <c r="B15" s="4"/>
      <c r="C15" s="4"/>
    </row>
    <row r="16" customFormat="false" ht="21.75" hidden="false" customHeight="true" outlineLevel="0" collapsed="false">
      <c r="A16" s="40" t="s">
        <v>212</v>
      </c>
      <c r="B16" s="10"/>
      <c r="C16" s="41"/>
    </row>
    <row r="17" customFormat="false" ht="21.75" hidden="false" customHeight="true" outlineLevel="0" collapsed="false">
      <c r="A17" s="40" t="s">
        <v>213</v>
      </c>
      <c r="B17" s="10"/>
      <c r="C17" s="41"/>
    </row>
    <row r="18" customFormat="false" ht="21.75" hidden="false" customHeight="true" outlineLevel="0" collapsed="false">
      <c r="A18" s="40" t="s">
        <v>214</v>
      </c>
      <c r="B18" s="10"/>
      <c r="C18" s="41"/>
    </row>
    <row r="19" customFormat="false" ht="21.75" hidden="false" customHeight="true" outlineLevel="0" collapsed="false">
      <c r="A19" s="40" t="s">
        <v>215</v>
      </c>
      <c r="B19" s="10"/>
      <c r="C19" s="41"/>
    </row>
    <row r="20" customFormat="false" ht="21.75" hidden="false" customHeight="true" outlineLevel="0" collapsed="false">
      <c r="A20" s="4" t="s">
        <v>216</v>
      </c>
      <c r="B20" s="4"/>
      <c r="C20" s="4"/>
    </row>
    <row r="21" customFormat="false" ht="21.75" hidden="false" customHeight="true" outlineLevel="0" collapsed="false">
      <c r="A21" s="40" t="s">
        <v>217</v>
      </c>
      <c r="B21" s="10"/>
      <c r="C21" s="41"/>
    </row>
    <row r="22" customFormat="false" ht="21.75" hidden="false" customHeight="true" outlineLevel="0" collapsed="false">
      <c r="A22" s="40" t="s">
        <v>218</v>
      </c>
      <c r="B22" s="10"/>
      <c r="C22" s="41"/>
    </row>
    <row r="23" customFormat="false" ht="21.75" hidden="false" customHeight="true" outlineLevel="0" collapsed="false">
      <c r="A23" s="40" t="s">
        <v>219</v>
      </c>
      <c r="B23" s="10"/>
      <c r="C23" s="41"/>
    </row>
    <row r="25" customFormat="false" ht="16.15" hidden="false" customHeight="false" outlineLevel="0" collapsed="false">
      <c r="A25" s="25" t="s">
        <v>220</v>
      </c>
      <c r="B25" s="25"/>
      <c r="C25" s="25"/>
    </row>
    <row r="26" customFormat="false" ht="16.15" hidden="false" customHeight="false" outlineLevel="0" collapsed="false">
      <c r="A26" s="13" t="s">
        <v>221</v>
      </c>
      <c r="B26" s="42" t="n">
        <f aca="false">COUNTIF(B6:B23,"Sí")</f>
        <v>0</v>
      </c>
    </row>
    <row r="27" customFormat="false" ht="16.15" hidden="false" customHeight="false" outlineLevel="0" collapsed="false">
      <c r="A27" s="13" t="s">
        <v>222</v>
      </c>
      <c r="B27" s="43" t="n">
        <f aca="false">COUNTIF(B6:B23,"Parcial")</f>
        <v>0</v>
      </c>
    </row>
    <row r="28" customFormat="false" ht="16.15" hidden="false" customHeight="false" outlineLevel="0" collapsed="false">
      <c r="A28" s="13" t="s">
        <v>223</v>
      </c>
      <c r="B28" s="44" t="n">
        <f aca="false">COUNTIF(B6:B23,"No")</f>
        <v>0</v>
      </c>
    </row>
    <row r="29" customFormat="false" ht="16.15" hidden="false" customHeight="false" outlineLevel="0" collapsed="false">
      <c r="A29" s="45" t="s">
        <v>224</v>
      </c>
      <c r="B29" s="46" t="n">
        <f aca="false">COUNTIF(B6:B23,"No aplica")</f>
        <v>0</v>
      </c>
    </row>
    <row r="31" customFormat="false" ht="22.05" hidden="false" customHeight="false" outlineLevel="0" collapsed="false">
      <c r="A31" s="30" t="s">
        <v>225</v>
      </c>
      <c r="B31" s="47" t="n">
        <f aca="false">IFERROR((COUNTIF(B6:B23,"Sí")+COUNTIF(B6:B23,"Parcial")*0.5)/(COUNTIF(B6:B23,"Sí")+COUNTIF(B6:B23,"Parcial")+COUNTIF(B6:B23,"No")),0)</f>
        <v>0</v>
      </c>
    </row>
    <row r="33" customFormat="false" ht="49.5" hidden="false" customHeight="true" outlineLevel="0" collapsed="false">
      <c r="A33" s="48" t="s">
        <v>152</v>
      </c>
      <c r="B33" s="49" t="str">
        <f aca="false">IF((COUNTIF(B6:B23,"Sí")+COUNTIF(B6:B23,"Parcial")+COUNTIF(B6:B23,"No"))=0,"Completa primero el checklist",IF(B31&gt;=0.8,"LISTOS para arrancar IA en cualquier caso del catálogo",IF(B31&gt;=0.6,"LISTOS para Quick Wins; preparar stack en paralelo para casos transformacionales",IF(B31&gt;=0.4,"INVERTIR en stack comercial en paralelo al primer caso de IA (cubrir bloques A-B antes)","PRIORIDAD: cerrar stack comercial 6-9 meses antes de IA. Sin CRM y datos sólidos, los proyectos comerciales fracasarán."))))</f>
        <v>Completa primero el checklist</v>
      </c>
      <c r="C33" s="49"/>
    </row>
  </sheetData>
  <mergeCells count="8">
    <mergeCell ref="A1:D1"/>
    <mergeCell ref="A2:D2"/>
    <mergeCell ref="A5:C5"/>
    <mergeCell ref="A10:C10"/>
    <mergeCell ref="A15:C15"/>
    <mergeCell ref="A20:C20"/>
    <mergeCell ref="A25:C25"/>
    <mergeCell ref="B33:C33"/>
  </mergeCells>
  <dataValidations count="1">
    <dataValidation allowBlank="true" errorStyle="stop" operator="between" showDropDown="false" showErrorMessage="false" showInputMessage="false" sqref="B6:B9 B11:B14 B16:B19 B21:B23" type="list">
      <formula1>"Sí,Parcial,No,No aplica"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LibreOffice/26.2.2.2$Linux_X86_64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2026-05-04T09:00:15Z</dcterms:created>
  <dc:creator>openpyxl</dc:creator>
  <dc:description/>
  <dc:language>en-US</dc:language>
  <cp:lastModifiedBy/>
  <dcterms:modified xsi:type="dcterms:W3CDTF">2026-05-04T09:00:15Z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