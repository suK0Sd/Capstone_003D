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tálogo" sheetId="1" state="visible" r:id="rId3"/>
    <sheet name="Cuestionario" sheetId="2" state="visible" r:id="rId4"/>
    <sheet name="Canvas" sheetId="3" state="visible" r:id="rId5"/>
    <sheet name="Habilitador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<sst xmlns="http://schemas.openxmlformats.org/spreadsheetml/2006/main" count="214" uniqueCount="202">
  <si>
    <t xml:space="preserve">Catálogo de casos de uso · Operaciones de Planta (PYME industrial)</t>
  </si>
  <si>
    <t xml:space="preserve">10 casos organizados en 4 categorías. Marca en la última columna los que aplican a tu planta.</t>
  </si>
  <si>
    <t xml:space="preserve">#</t>
  </si>
  <si>
    <t xml:space="preserve">Caso de uso</t>
  </si>
  <si>
    <t xml:space="preserve">Descripción</t>
  </si>
  <si>
    <t xml:space="preserve">Familia de IA</t>
  </si>
  <si>
    <t xml:space="preserve">KPI típico</t>
  </si>
  <si>
    <t xml:space="preserve">Datos requeridos</t>
  </si>
  <si>
    <t xml:space="preserve">Esfuerzo</t>
  </si>
  <si>
    <t xml:space="preserve">Madurez (1-5)</t>
  </si>
  <si>
    <t xml:space="preserve">Compliance / riesgo</t>
  </si>
  <si>
    <t xml:space="preserve">¿Aplica?</t>
  </si>
  <si>
    <t xml:space="preserve">Notas</t>
  </si>
  <si>
    <t xml:space="preserve">MANTENIMIENTO — App integral y soporte al mantenedor</t>
  </si>
  <si>
    <t xml:space="preserve">App integral de mantenimiento inteligente</t>
  </si>
  <si>
    <t xml:space="preserve">Plataforma única que predice fallas en máquinas críticas, diagnostica el problema cuando aparece y guía al mantenedor con instrucciones contextuales (videos, manuales, casos similares) desde una app móvil con copiloto conversacional.</t>
  </si>
  <si>
    <t xml:space="preserve">ML + GenAI / RAG</t>
  </si>
  <si>
    <t xml:space="preserve">MTBF, MTTR, % fallas detectadas tempranamente, tiempo a resolución</t>
  </si>
  <si>
    <t xml:space="preserve">Sensores en máquinas críticas, histórico de paradas, manuales y procedimientos, registro de intervenciones</t>
  </si>
  <si>
    <t xml:space="preserve">Mediano</t>
  </si>
  <si>
    <t xml:space="preserve">Seguridad operativa; validación humana en intervenciones; trazabilidad.</t>
  </si>
  <si>
    <t xml:space="preserve">Programa preventivo basado en condición real</t>
  </si>
  <si>
    <t xml:space="preserve">Optimiza el calendario de mantenimiento preventivo a partir del estado real de las máquinas, no solo del calendario fijo del fabricante. Reduce intervenciones innecesarias y previene las críticas.</t>
  </si>
  <si>
    <t xml:space="preserve">ML clásico</t>
  </si>
  <si>
    <t xml:space="preserve">Costo de mantenimiento, paros evitados, vida útil de equipos</t>
  </si>
  <si>
    <t xml:space="preserve">Histórico de mantenimiento, condición de máquinas, costos por intervención</t>
  </si>
  <si>
    <t xml:space="preserve">Política de mantenimiento; relación con seguros y garantías de fabricante.</t>
  </si>
  <si>
    <t xml:space="preserve">Análisis de causa raíz asistido por IA (post-falla)</t>
  </si>
  <si>
    <t xml:space="preserve">Cuando ocurre una falla, la IA correlaciona variables operativas, eventos previos y casos históricos similares para sugerir causa raíz probable y acción correctiva.</t>
  </si>
  <si>
    <t xml:space="preserve">ML + GenAI</t>
  </si>
  <si>
    <t xml:space="preserve">Tiempo de análisis RCA, recurrencia de fallas, calidad del aprendizaje organizacional</t>
  </si>
  <si>
    <t xml:space="preserve">Histórico de fallas, variables de proceso, registros de turno</t>
  </si>
  <si>
    <t xml:space="preserve">Validación humana de la causa raíz; sesgo a fallas conocidas vs nuevas.</t>
  </si>
  <si>
    <t xml:space="preserve">CALIDAD — Detección, predicción y aprendizaje</t>
  </si>
  <si>
    <t xml:space="preserve">Inspección visual automatizada de defectos</t>
  </si>
  <si>
    <t xml:space="preserve">Cámaras + visión por computadora detectan defectos cosméticos o estructurales en línea, en tiempo real, con tasa de detección superior al control humano.</t>
  </si>
  <si>
    <t xml:space="preserve">Deep Learning / Visión</t>
  </si>
  <si>
    <t xml:space="preserve">Tasa de defectos detectados, falsos positivos, scrap, tiempo de inspección</t>
  </si>
  <si>
    <t xml:space="preserve">Imágenes etiquetadas de productos OK y NOK, condiciones de iluminación estándar</t>
  </si>
  <si>
    <t xml:space="preserve">Trazabilidad de imágenes; revalidación cuando cambia el producto; tolerancia de modelo a variaciones.</t>
  </si>
  <si>
    <t xml:space="preserve">Predicción de calidad y desviaciones en proceso</t>
  </si>
  <si>
    <t xml:space="preserve">Modelos predictivos detectan condiciones que producirán no-conformidad antes del control final, permitiendo intervención temprana en línea.</t>
  </si>
  <si>
    <t xml:space="preserve">Tasa de no-conformidades, scrap evitado, tiempo de detección</t>
  </si>
  <si>
    <t xml:space="preserve">Variables de proceso (temperatura, presión, velocidad), registros de calidad correlacionados</t>
  </si>
  <si>
    <t xml:space="preserve">Sesgo según producto/turno; recalibración con cambios de receta.</t>
  </si>
  <si>
    <t xml:space="preserve">Análisis de causa raíz de no-conformidades</t>
  </si>
  <si>
    <t xml:space="preserve">Identifica patrones recurrentes en no-conformidades (turnos, materias primas, máquinas, condiciones) y propone causa raíz probable + acciones.</t>
  </si>
  <si>
    <t xml:space="preserve">Recurrencia de no-conformidades, mejora continua, costo de calidad</t>
  </si>
  <si>
    <t xml:space="preserve">Histórico de no-conformidades, lotes, turnos, máquinas, materias primas</t>
  </si>
  <si>
    <t xml:space="preserve">Validación humana; integración con sistema de calidad existente.</t>
  </si>
  <si>
    <t xml:space="preserve">MODELAMIENTO DE DEMANDA — Planificación y abastecimiento</t>
  </si>
  <si>
    <t xml:space="preserve">Forecast de demanda multi-horizonte</t>
  </si>
  <si>
    <t xml:space="preserve">Predice demanda en horizontes corto (semanal), medio (mensual) y largo (anual) por SKU, cliente o canal, con incorporación de eventos (promociones, estacionalidad, factores externos).</t>
  </si>
  <si>
    <t xml:space="preserve">ML clásico (gradient boosting, series temporales)</t>
  </si>
  <si>
    <t xml:space="preserve">Error de pronóstico (MAPE), nivel de servicio, costo de inventario</t>
  </si>
  <si>
    <t xml:space="preserve">Histórico de ventas/pedidos, calendario de promociones, datos externos relevantes</t>
  </si>
  <si>
    <t xml:space="preserve">Quick Win</t>
  </si>
  <si>
    <t xml:space="preserve">Sesgos por shocks atípicos; reentrenamiento ante cambios de portafolio.</t>
  </si>
  <si>
    <t xml:space="preserve">Optimización del plan de producción (S&amp;OP integrado)</t>
  </si>
  <si>
    <t xml:space="preserve">Construye el plan de producción óptimo conciliando demanda pronosticada, capacidad disponible, restricciones de líneas, mantenimiento programado y disponibilidad de materias primas.</t>
  </si>
  <si>
    <t xml:space="preserve">Optimización + ML</t>
  </si>
  <si>
    <t xml:space="preserve">Cumplimiento del plan, OEE objetivo, costo de cambios de producción</t>
  </si>
  <si>
    <t xml:space="preserve">Forecast de demanda, capacidad de líneas, planes de mantenimiento, MRP</t>
  </si>
  <si>
    <t xml:space="preserve">Aceptación del planificador; explicabilidad de decisiones; manejo de excepciones.</t>
  </si>
  <si>
    <t xml:space="preserve">Optimización de inventarios y MRP integrado</t>
  </si>
  <si>
    <t xml:space="preserve">Calcula puntos de reorden, niveles de seguridad y planes de reposición optimizados por SKU, conectando demanda pronosticada con tiempos de reabastecimiento.</t>
  </si>
  <si>
    <t xml:space="preserve">ML + Optimización</t>
  </si>
  <si>
    <t xml:space="preserve">Días de inventario, fill rate, costo de stockouts, capital inmovilizado</t>
  </si>
  <si>
    <t xml:space="preserve">Histórico de inventario, lead times reales por proveedor, costos</t>
  </si>
  <si>
    <t xml:space="preserve">Integración con ERP; gobierno de cambios; calidad del lead time.</t>
  </si>
  <si>
    <t xml:space="preserve">PERSONAS EN PLANTA — Onboarding, copiloto y conocimiento</t>
  </si>
  <si>
    <t xml:space="preserve">Plataforma integral de personas en planta</t>
  </si>
  <si>
    <t xml:space="preserve">Solución única que integra: (1) onboarding asistido para operadores nuevos con simulación de procedimientos y entrenamiento adaptativo, (2) copiloto del operador en turno con respuestas a preguntas técnicas en lenguaje natural sobre máquinas, recetas y procedimientos, y (3) base de conocimiento auto-mantenida que captura aprendizajes de cada turno y los devuelve al equipo.</t>
  </si>
  <si>
    <t xml:space="preserve">GenAI / RAG + ML</t>
  </si>
  <si>
    <t xml:space="preserve">Tiempo de curva de aprendizaje (time-to-proficiency), errores operativos, retención de talento, FCR de consultas técnicas</t>
  </si>
  <si>
    <t xml:space="preserve">Manuales, procedimientos, recetas, registros de turno, transcripciones de cambios de turno, histórico de fallas resueltas</t>
  </si>
  <si>
    <t xml:space="preserve">Privacidad de datos del operador; trazabilidad; sesgo a procedimientos antiguos; validación humana en información crítica.</t>
  </si>
  <si>
    <t xml:space="preserve">RESUMEN DE SELECCIONES</t>
  </si>
  <si>
    <t xml:space="preserve">Casos marcados "Sí":</t>
  </si>
  <si>
    <t xml:space="preserve">Casos marcados "Tal vez":</t>
  </si>
  <si>
    <t xml:space="preserve">Total candidatos (Sí + Tal vez):</t>
  </si>
  <si>
    <t xml:space="preserve">Cuestionario de autoevaluación · Operaciones de Planta</t>
  </si>
  <si>
    <t xml:space="preserve">16 preguntas en 4 bloques. Escala 1-5. Calcula automáticamente Pain × Readiness y emite recomendación.</t>
  </si>
  <si>
    <t xml:space="preserve">Escala:</t>
  </si>
  <si>
    <t xml:space="preserve">1 = no existe / muy bajo  ·  2 = bajo  ·  3 = medio  ·  4 = alto  ·  5 = sistemático / muy alto</t>
  </si>
  <si>
    <t xml:space="preserve">Pregunta</t>
  </si>
  <si>
    <t xml:space="preserve">Puntaje (1-5)</t>
  </si>
  <si>
    <t xml:space="preserve">BLOQUE A — Pain operativo en planta</t>
  </si>
  <si>
    <t xml:space="preserve">A1</t>
  </si>
  <si>
    <t xml:space="preserve">El volumen de paros no planificados (correctivos) en máquinas críticas que sufrimos es:</t>
  </si>
  <si>
    <t xml:space="preserve">A2</t>
  </si>
  <si>
    <t xml:space="preserve">La tasa de no-conformidades, scrap o retrabajos que tenemos hoy es:</t>
  </si>
  <si>
    <t xml:space="preserve">A3</t>
  </si>
  <si>
    <t xml:space="preserve">El error de pronóstico de demanda y la dificultad para planificar producción es:</t>
  </si>
  <si>
    <t xml:space="preserve">A4</t>
  </si>
  <si>
    <t xml:space="preserve">La rotación / curva de aprendizaje de operadores y dependencia de operadores expertos es:</t>
  </si>
  <si>
    <t xml:space="preserve">BLOQUE B — Readiness de datos operativos</t>
  </si>
  <si>
    <t xml:space="preserve">B1</t>
  </si>
  <si>
    <t xml:space="preserve">Las máquinas críticas tienen sensores básicos (vibración, temperatura, corriente, presión):</t>
  </si>
  <si>
    <t xml:space="preserve">B2</t>
  </si>
  <si>
    <t xml:space="preserve">Tenemos histórico digital de al menos 12 meses de operación, calidad y mantenimiento:</t>
  </si>
  <si>
    <t xml:space="preserve">B3</t>
  </si>
  <si>
    <t xml:space="preserve">Las recetas, procedimientos y registros de turno están digitalizados y accesibles:</t>
  </si>
  <si>
    <t xml:space="preserve">B4</t>
  </si>
  <si>
    <t xml:space="preserve">Existe alguna conexión / lectura de datos entre PLCs/SCADA y sistemas IT:</t>
  </si>
  <si>
    <t xml:space="preserve">BLOQUE C — Readiness del equipo de planta</t>
  </si>
  <si>
    <t xml:space="preserve">C1</t>
  </si>
  <si>
    <t xml:space="preserve">El Jefe de Planta / Director de Operaciones está abierto a incorporar IA y patrocina:</t>
  </si>
  <si>
    <t xml:space="preserve">C2</t>
  </si>
  <si>
    <t xml:space="preserve">Hay champions de transformación digital en mantenimiento, calidad o planificación:</t>
  </si>
  <si>
    <t xml:space="preserve">C3</t>
  </si>
  <si>
    <t xml:space="preserve">El equipo tiene cultura de mejora continua / lean / TPM en operación:</t>
  </si>
  <si>
    <t xml:space="preserve">C4</t>
  </si>
  <si>
    <t xml:space="preserve">Los operadores están abiertos a usar nuevas herramientas (tablets, apps, sensores):</t>
  </si>
  <si>
    <t xml:space="preserve">BLOQUE D — Alineación estratégica</t>
  </si>
  <si>
    <t xml:space="preserve">D1</t>
  </si>
  <si>
    <t xml:space="preserve">Tenemos metas explícitas de OEE, scrap, productividad o reducción de costos operativos:</t>
  </si>
  <si>
    <t xml:space="preserve">D2</t>
  </si>
  <si>
    <t xml:space="preserve">Hay presupuesto razonable para industria 4.0 / IA en planta en los próximos 12 meses:</t>
  </si>
  <si>
    <t xml:space="preserve">D3</t>
  </si>
  <si>
    <t xml:space="preserve">Existe apoyo de gerencia general / comité directivo para iniciativas de planta inteligente:</t>
  </si>
  <si>
    <t xml:space="preserve">D4</t>
  </si>
  <si>
    <t xml:space="preserve">Existe un caso de negocio claro de impacto en costos operativos o productividad:</t>
  </si>
  <si>
    <t xml:space="preserve">RESULTADOS</t>
  </si>
  <si>
    <t xml:space="preserve">Pain score (Bloque A):</t>
  </si>
  <si>
    <t xml:space="preserve">Readiness score (Bloques B + C + D):</t>
  </si>
  <si>
    <t xml:space="preserve">RECOMENDACIÓN:</t>
  </si>
  <si>
    <t xml:space="preserve">Matriz 2×2 — Pain × Readiness</t>
  </si>
  <si>
    <t xml:space="preserve">Readiness BAJA (&lt; 3.5)</t>
  </si>
  <si>
    <t xml:space="preserve">Readiness ALTA (≥ 3.5)</t>
  </si>
  <si>
    <t xml:space="preserve">Pain ALTO (≥ 3.5)</t>
  </si>
  <si>
    <t xml:space="preserve">Invertir en habilitadores primero</t>
  </si>
  <si>
    <t xml:space="preserve">QUICK WIN PRIORITARIO</t>
  </si>
  <si>
    <t xml:space="preserve">Pain BAJO (&lt; 3.5)</t>
  </si>
  <si>
    <t xml:space="preserve">Aún no es momento</t>
  </si>
  <si>
    <t xml:space="preserve">Oportunidad sin urgencia</t>
  </si>
  <si>
    <t xml:space="preserve">Canvas de oportunidad · Operaciones de Planta</t>
  </si>
  <si>
    <t xml:space="preserve">Documenta una oportunidad concreta. Reemplaza el texto en cursiva. Salida lista para el Módulo 2.</t>
  </si>
  <si>
    <t xml:space="preserve">1.  Nombre del caso</t>
  </si>
  <si>
    <t xml:space="preserve">   Prompt: ≤ 8 palabras</t>
  </si>
  <si>
    <t xml:space="preserve">Ej. App integral de mantenimiento línea 2</t>
  </si>
  <si>
    <t xml:space="preserve">2.  Pain point concreto</t>
  </si>
  <si>
    <t xml:space="preserve">   Prompt: Hoy en planta sufrimos X cuando Y</t>
  </si>
  <si>
    <t xml:space="preserve">Ej. Hoy la línea 2 sufre 3-4 paros no planificados al mes en la envasadora, con MTTR de 4-6 horas y costo de oportunidad de ~USD 12.000/mes.</t>
  </si>
  <si>
    <t xml:space="preserve">3.  Frecuencia y volumen</t>
  </si>
  <si>
    <t xml:space="preserve">   Prompt: ¿Cuántas veces ocurre por mes y a qué activos afecta?</t>
  </si>
  <si>
    <t xml:space="preserve">Ej. ~3.5 paros/mes en la envasadora; 8 operadores y 2 mantenedores afectados; impacto en 4 SKUs principales.</t>
  </si>
  <si>
    <t xml:space="preserve">4.  Costo estimado del dolor</t>
  </si>
  <si>
    <t xml:space="preserve">   Prompt: USD/mes en costo directo + oportunidad + scrap</t>
  </si>
  <si>
    <t xml:space="preserve">Ej. USD 12.000/mes en costo de oportunidad + USD 3.000 en horas extra de mantenimiento + USD 1.500 en scrap = USD 16.500/mes.</t>
  </si>
  <si>
    <t xml:space="preserve">5.  KPI primario a mover</t>
  </si>
  <si>
    <t xml:space="preserve">   Prompt: Indicador concreto y dirección</t>
  </si>
  <si>
    <t xml:space="preserve">Ej. MTBF (de 80h a 200h), MTTR (de 5h a 2h), OEE de la línea (de 68% a 80%).</t>
  </si>
  <si>
    <t xml:space="preserve">6.  Magnitud esperada del cambio</t>
  </si>
  <si>
    <t xml:space="preserve">   Prompt: De X a Y, en qué horizonte</t>
  </si>
  <si>
    <t xml:space="preserve">Ej. Reducir paros 60% en 6 meses; ahorrar USD 10.000/mes desde el mes 4; recuperar inversión en 9 meses.</t>
  </si>
  <si>
    <t xml:space="preserve">7.  Datos disponibles + sensorización</t>
  </si>
  <si>
    <t xml:space="preserve">   Prompt: Sensores, sistemas, calidad, brechas</t>
  </si>
  <si>
    <t xml:space="preserve">Ej. PLC en envasadora con datos de velocidad, paros y alarmas (sin histórico estructurado); manuales y procedimientos digitalizados parcialmente; sin sensores de vibración (a instalar).</t>
  </si>
  <si>
    <t xml:space="preserve">8.  Familia de IA hipotética</t>
  </si>
  <si>
    <t xml:space="preserve">   Prompt: Reglas / ML clásico / GenAI / Híbrida (Módulo 4)</t>
  </si>
  <si>
    <t xml:space="preserve">Ej. ML clásico para predicción de fallas + GenAI/RAG para guía al mantenedor en app móvil + reglas para escalamiento.</t>
  </si>
  <si>
    <t xml:space="preserve">9.  Riesgos visibles</t>
  </si>
  <si>
    <t xml:space="preserve">   Prompt: Técnicos, operativos, de adopción</t>
  </si>
  <si>
    <t xml:space="preserve">Ej. Calidad de datos históricos limitada (primer modelo será débil); resistencia inicial de mantenedores; dependencia del proveedor de la envasadora para datos extras.</t>
  </si>
  <si>
    <t xml:space="preserve">10.  Sponsor del caso</t>
  </si>
  <si>
    <t xml:space="preserve">   Prompt: Nombre y rol del patrocinador</t>
  </si>
  <si>
    <t xml:space="preserve">Ej. Jefe de Mantenimiento (Carlos Pérez), con respaldo del Jefe de Planta.</t>
  </si>
  <si>
    <t xml:space="preserve">SALIDA — Resumen del caso para Módulo 2</t>
  </si>
  <si>
    <t xml:space="preserve">Cuando completes los 10 campos, copia el contenido en la plantilla de oportunidad del Módulo 2. Verifica antes en la pestaña Habilitadores que tu planta tenga la sensorización mínima requerida por el caso.</t>
  </si>
  <si>
    <t xml:space="preserve">Habilitadores pre-IA · Diagnóstico de readiness operativo</t>
  </si>
  <si>
    <t xml:space="preserve">Antes de pensar en IA, tu planta necesita ciertas capacidades mínimas. Marca el estado real de cada habilitador. La hoja calcula tu nivel de readiness y la recomendación.</t>
  </si>
  <si>
    <t xml:space="preserve">Habilitador</t>
  </si>
  <si>
    <t xml:space="preserve">Estado</t>
  </si>
  <si>
    <t xml:space="preserve">Comentario</t>
  </si>
  <si>
    <t xml:space="preserve">A. SENSORIZACIÓN MÍNIMA</t>
  </si>
  <si>
    <t xml:space="preserve">Las máquinas críticas tienen sensores básicos (vibración, temperatura, corriente, presión)</t>
  </si>
  <si>
    <t xml:space="preserve">Los sensores están conectados a un sistema de adquisición (no son lectura manual)</t>
  </si>
  <si>
    <t xml:space="preserve">Tenemos histórico operativo de al menos 12 meses con frecuencia razonable de muestreo</t>
  </si>
  <si>
    <t xml:space="preserve">B. CONECTIVIDAD Y SISTEMAS DE GESTIÓN</t>
  </si>
  <si>
    <t xml:space="preserve">Tenemos un MES o sistema equivalente que registra OEE, paradas y producción</t>
  </si>
  <si>
    <t xml:space="preserve">Las paradas se categorizan automáticamente (no en papel ni Excel suelto)</t>
  </si>
  <si>
    <t xml:space="preserve">Hay integración / lectura entre PLCs/SCADA y sistemas IT (al menos unidireccional)</t>
  </si>
  <si>
    <t xml:space="preserve">C. CALIDAD DE DATOS</t>
  </si>
  <si>
    <t xml:space="preserve">Las recetas, procedimientos y SOPs están digitalizados y actualizados</t>
  </si>
  <si>
    <t xml:space="preserve">Los registros de calidad (no conformidades, scrap) se capturan digitalmente</t>
  </si>
  <si>
    <t xml:space="preserve">Existe taxonomía estándar de fallas, paros y defectos</t>
  </si>
  <si>
    <t xml:space="preserve">El histórico de calidad es trazable a lote, turno y máquina</t>
  </si>
  <si>
    <t xml:space="preserve">D. SISTEMAS TRANSACCIONALES</t>
  </si>
  <si>
    <t xml:space="preserve">Tenemos ERP/MRP que conecta con producción</t>
  </si>
  <si>
    <t xml:space="preserve">Pedidos y forecast se gestionan en sistema (no solo en Excel)</t>
  </si>
  <si>
    <t xml:space="preserve">Trazabilidad de inventarios es digital (no por planilla manual)</t>
  </si>
  <si>
    <t xml:space="preserve">E. CULTURA Y EQUIPO</t>
  </si>
  <si>
    <t xml:space="preserve">El operador captura datos en sistema (tablet / kiosko / app), no solo en papel</t>
  </si>
  <si>
    <t xml:space="preserve">Hay un responsable de mejora continua / lean / TPM identificado</t>
  </si>
  <si>
    <t xml:space="preserve">El equipo ha pasado por proyectos de digitalización con resultados razonables</t>
  </si>
  <si>
    <t xml:space="preserve">RESUMEN Y SCORE DE READINESS</t>
  </si>
  <si>
    <t xml:space="preserve">Habilitadores marcados "Sí":</t>
  </si>
  <si>
    <t xml:space="preserve">Parciales:</t>
  </si>
  <si>
    <t xml:space="preserve">No tenemos:</t>
  </si>
  <si>
    <t xml:space="preserve">No aplican:</t>
  </si>
  <si>
    <t xml:space="preserve">SCORE DE READINESS OPERATIVO:</t>
  </si>
</sst>
</file>

<file path=xl/styles.xml><?xml version="1.0" encoding="utf-8"?>
<styleSheet xmlns="http://schemas.openxmlformats.org/spreadsheetml/2006/main">
  <numFmts count="3">
    <numFmt numFmtId="164" formatCode="General"/>
    <numFmt numFmtId="165" formatCode="0.00"/>
    <numFmt numFmtId="166" formatCode="0.0%"/>
  </numFmts>
  <fonts count="36">
    <font>
      <sz val="11"/>
      <color theme="1"/>
      <name val="Calibri"/>
      <family val="2"/>
      <charset val="1"/>
    </font>
    <font>
      <sz val="10"/>
      <name val="Arial"/>
      <family val="0"/>
    </font>
    <font>
      <sz val="10"/>
      <name val="Arial"/>
      <family val="0"/>
    </font>
    <font>
      <sz val="10"/>
      <name val="Arial"/>
      <family val="0"/>
    </font>
    <font>
      <b val="true"/>
      <sz val="18"/>
      <color rgb="FF1F3A5F"/>
      <name val="Arial"/>
      <family val="0"/>
      <charset val="1"/>
    </font>
    <font>
      <i val="true"/>
      <sz val="11"/>
      <color rgb="FF6B7280"/>
      <name val="Arial"/>
      <family val="0"/>
      <charset val="1"/>
    </font>
    <font>
      <b val="true"/>
      <sz val="11"/>
      <color rgb="FF1F3A5F"/>
      <name val="Arial"/>
      <family val="0"/>
      <charset val="1"/>
    </font>
    <font>
      <b val="true"/>
      <sz val="12"/>
      <color rgb="FFFFFFFF"/>
      <name val="Arial"/>
      <family val="0"/>
      <charset val="1"/>
    </font>
    <font>
      <sz val="10"/>
      <color rgb="FF2D2D2D"/>
      <name val="Arial"/>
      <family val="0"/>
      <charset val="1"/>
    </font>
    <font>
      <b val="true"/>
      <sz val="10"/>
      <color rgb="FF2D2D2D"/>
      <name val="Arial"/>
      <family val="0"/>
      <charset val="1"/>
    </font>
    <font>
      <b val="true"/>
      <sz val="11"/>
      <color rgb="FF2D2D2D"/>
      <name val="Arial"/>
      <family val="0"/>
      <charset val="1"/>
    </font>
    <font>
      <b val="true"/>
      <sz val="11"/>
      <color rgb="FF0000FF"/>
      <name val="Arial"/>
      <family val="0"/>
      <charset val="1"/>
    </font>
    <font>
      <sz val="10"/>
      <color rgb="FF0000FF"/>
      <name val="Arial"/>
      <family val="0"/>
      <charset val="1"/>
    </font>
    <font>
      <b val="true"/>
      <sz val="12"/>
      <color rgb="FF1F3A5F"/>
      <name val="Arial"/>
      <family val="0"/>
      <charset val="1"/>
    </font>
    <font>
      <b val="true"/>
      <sz val="14"/>
      <color rgb="FF2E7D32"/>
      <name val="Arial"/>
      <family val="0"/>
      <charset val="1"/>
    </font>
    <font>
      <b val="true"/>
      <sz val="14"/>
      <color rgb="FFB7791F"/>
      <name val="Arial"/>
      <family val="0"/>
      <charset val="1"/>
    </font>
    <font>
      <b val="true"/>
      <sz val="14"/>
      <color rgb="FF1F3A5F"/>
      <name val="Arial"/>
      <family val="0"/>
      <charset val="1"/>
    </font>
    <font>
      <i val="true"/>
      <sz val="10"/>
      <color rgb="FF2D2D2D"/>
      <name val="Arial"/>
      <family val="0"/>
      <charset val="1"/>
    </font>
    <font>
      <b val="true"/>
      <sz val="12"/>
      <color rgb="FFB91C1C"/>
      <name val="Arial"/>
      <family val="0"/>
      <charset val="1"/>
    </font>
    <font>
      <b val="true"/>
      <sz val="11"/>
      <color rgb="FFB91C1C"/>
      <name val="Arial"/>
      <family val="0"/>
      <charset val="1"/>
    </font>
    <font>
      <sz val="11"/>
      <color rgb="FF2D2D2D"/>
      <name val="Arial"/>
      <family val="0"/>
      <charset val="1"/>
    </font>
    <font>
      <b val="true"/>
      <sz val="13"/>
      <color rgb="FF0000FF"/>
      <name val="Arial"/>
      <family val="0"/>
      <charset val="1"/>
    </font>
    <font>
      <b val="true"/>
      <sz val="12"/>
      <color rgb="FF2E75B6"/>
      <name val="Arial"/>
      <family val="0"/>
      <charset val="1"/>
    </font>
    <font>
      <b val="true"/>
      <sz val="11"/>
      <color rgb="FF2E75B6"/>
      <name val="Arial"/>
      <family val="0"/>
      <charset val="1"/>
    </font>
    <font>
      <b val="true"/>
      <sz val="13"/>
      <color rgb="FF1F3A5F"/>
      <name val="Arial"/>
      <family val="0"/>
      <charset val="1"/>
    </font>
    <font>
      <b val="true"/>
      <sz val="12"/>
      <color rgb="FF2D2D2D"/>
      <name val="Arial"/>
      <family val="0"/>
      <charset val="1"/>
    </font>
    <font>
      <b val="true"/>
      <sz val="16"/>
      <color rgb="FFB91C1C"/>
      <name val="Arial"/>
      <family val="0"/>
      <charset val="1"/>
    </font>
    <font>
      <b val="true"/>
      <sz val="16"/>
      <color rgb="FF2E7D32"/>
      <name val="Arial"/>
      <family val="0"/>
      <charset val="1"/>
    </font>
    <font>
      <b val="true"/>
      <sz val="11"/>
      <color rgb="FFB7791F"/>
      <name val="Arial"/>
      <family val="0"/>
      <charset val="1"/>
    </font>
    <font>
      <b val="true"/>
      <sz val="11"/>
      <color rgb="FF2E7D32"/>
      <name val="Arial"/>
      <family val="0"/>
      <charset val="1"/>
    </font>
    <font>
      <i val="true"/>
      <sz val="10"/>
      <color rgb="FF6B7280"/>
      <name val="Arial"/>
      <family val="0"/>
      <charset val="1"/>
    </font>
    <font>
      <i val="true"/>
      <sz val="11"/>
      <color rgb="FF2D2D2D"/>
      <name val="Arial"/>
      <family val="0"/>
      <charset val="1"/>
    </font>
    <font>
      <b val="true"/>
      <sz val="13"/>
      <color rgb="FF2E7D32"/>
      <name val="Arial"/>
      <family val="0"/>
      <charset val="1"/>
    </font>
    <font>
      <b val="true"/>
      <sz val="13"/>
      <color rgb="FFB7791F"/>
      <name val="Arial"/>
      <family val="0"/>
      <charset val="1"/>
    </font>
    <font>
      <b val="true"/>
      <sz val="13"/>
      <color rgb="FFB91C1C"/>
      <name val="Arial"/>
      <family val="0"/>
      <charset val="1"/>
    </font>
    <font>
      <sz val="13"/>
      <color rgb="FF6B7280"/>
      <name val="Arial"/>
      <family val="0"/>
      <charset val="1"/>
    </font>
  </fonts>
  <fills count="10">
    <fill>
      <patternFill patternType="none"/>
    </fill>
    <fill>
      <patternFill patternType="gray125"/>
    </fill>
    <fill>
      <patternFill patternType="solid">
        <fgColor rgb="FFE8EEF4"/>
        <bgColor rgb="FFE8F4E8"/>
      </patternFill>
    </fill>
    <fill>
      <patternFill patternType="solid">
        <fgColor rgb="FF1F3A5F"/>
        <bgColor rgb="FF2D2D2D"/>
      </patternFill>
    </fill>
    <fill>
      <patternFill patternType="solid">
        <fgColor rgb="FFFFF8DC"/>
        <bgColor rgb="FFFFF4D6"/>
      </patternFill>
    </fill>
    <fill>
      <patternFill patternType="solid">
        <fgColor rgb="FFE8F4E8"/>
        <bgColor rgb="FFE8EEF4"/>
      </patternFill>
    </fill>
    <fill>
      <patternFill patternType="solid">
        <fgColor rgb="FFFDE7E9"/>
        <bgColor rgb="FFFFF4D6"/>
      </patternFill>
    </fill>
    <fill>
      <patternFill patternType="solid">
        <fgColor rgb="FFDCEEDC"/>
        <bgColor rgb="FFE8F4E8"/>
      </patternFill>
    </fill>
    <fill>
      <patternFill patternType="solid">
        <fgColor rgb="FFFFF4D6"/>
        <bgColor rgb="FFFFF8DC"/>
      </patternFill>
    </fill>
    <fill>
      <patternFill patternType="solid">
        <fgColor rgb="FFF7F9FB"/>
        <bgColor rgb="FFFFFFFF"/>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1F3A5F"/>
      </left>
      <right/>
      <top style="thin">
        <color rgb="FF1F3A5F"/>
      </top>
      <bottom style="thin">
        <color rgb="FF1F3A5F"/>
      </bottom>
      <diagonal/>
    </border>
    <border diagonalUp="false" diagonalDown="false">
      <left style="thin">
        <color rgb="FF1F3A5F"/>
      </left>
      <right style="thin">
        <color rgb="FF1F3A5F"/>
      </right>
      <top style="thin">
        <color rgb="FF1F3A5F"/>
      </top>
      <bottom style="thin">
        <color rgb="FF1F3A5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3" fillId="2"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6" fillId="5"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8" fillId="6" borderId="0"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left" vertical="center" textRotation="0" wrapText="true" indent="0" shrinkToFit="false"/>
      <protection locked="true" hidden="false"/>
    </xf>
    <xf numFmtId="164" fontId="21" fillId="4" borderId="1" xfId="0" applyFont="true" applyBorder="true" applyAlignment="true" applyProtection="false">
      <alignment horizontal="center" vertical="center" textRotation="0" wrapText="true" indent="0" shrinkToFit="false"/>
      <protection locked="true" hidden="false"/>
    </xf>
    <xf numFmtId="164" fontId="22" fillId="2" borderId="0" xfId="0" applyFont="true" applyBorder="true" applyAlignment="false" applyProtection="false">
      <alignment horizontal="general" vertical="bottom" textRotation="0" wrapText="fals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4" fontId="24" fillId="2" borderId="0"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5" fontId="26" fillId="6"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5" fontId="27" fillId="7" borderId="1"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28" fillId="8" borderId="1" xfId="0" applyFont="true" applyBorder="true" applyAlignment="true" applyProtection="false">
      <alignment horizontal="center" vertical="center" textRotation="0" wrapText="true" indent="0" shrinkToFit="false"/>
      <protection locked="true" hidden="false"/>
    </xf>
    <xf numFmtId="164" fontId="29" fillId="7" borderId="1" xfId="0" applyFont="true" applyBorder="true" applyAlignment="true" applyProtection="false">
      <alignment horizontal="center" vertical="center" textRotation="0" wrapText="true" indent="0" shrinkToFit="false"/>
      <protection locked="true" hidden="false"/>
    </xf>
    <xf numFmtId="164" fontId="19" fillId="6" borderId="1" xfId="0" applyFont="true" applyBorder="true" applyAlignment="true" applyProtection="false">
      <alignment horizontal="center" vertical="center" textRotation="0" wrapText="true" indent="0" shrinkToFit="false"/>
      <protection locked="true" hidden="false"/>
    </xf>
    <xf numFmtId="164" fontId="23" fillId="9" borderId="1" xfId="0" applyFont="true" applyBorder="true" applyAlignment="true" applyProtection="false">
      <alignment horizontal="center" vertical="center" textRotation="0" wrapText="true" indent="0" shrinkToFit="false"/>
      <protection locked="true" hidden="false"/>
    </xf>
    <xf numFmtId="164" fontId="13" fillId="2" borderId="3" xfId="0" applyFont="true" applyBorder="true" applyAlignment="true" applyProtection="false">
      <alignment horizontal="left" vertical="center" textRotation="0" wrapText="true" indent="0" shrinkToFit="false"/>
      <protection locked="true" hidden="false"/>
    </xf>
    <xf numFmtId="164" fontId="30" fillId="0" borderId="0"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31" fillId="0" borderId="0"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32" fillId="0" borderId="0" xfId="0" applyFont="true" applyBorder="fals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center" vertical="center" textRotation="0" wrapText="true" indent="0" shrinkToFit="false"/>
      <protection locked="true" hidden="false"/>
    </xf>
    <xf numFmtId="164" fontId="34" fillId="0" borderId="0" xfId="0" applyFont="true" applyBorder="false" applyAlignment="true" applyProtection="false">
      <alignment horizontal="center" vertical="center"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center" vertical="center" textRotation="0" wrapText="true" indent="0" shrinkToFit="false"/>
      <protection locked="true" hidden="false"/>
    </xf>
    <xf numFmtId="166" fontId="4" fillId="5"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7791F"/>
      <rgbColor rgb="FF800080"/>
      <rgbColor rgb="FF008080"/>
      <rgbColor rgb="FFCCCCCC"/>
      <rgbColor rgb="FF808080"/>
      <rgbColor rgb="FF9999FF"/>
      <rgbColor rgb="FF993366"/>
      <rgbColor rgb="FFFFF8DC"/>
      <rgbColor rgb="FFE8F4E8"/>
      <rgbColor rgb="FF660066"/>
      <rgbColor rgb="FFFF8080"/>
      <rgbColor rgb="FF0066CC"/>
      <rgbColor rgb="FFF7F9FB"/>
      <rgbColor rgb="FF000080"/>
      <rgbColor rgb="FFFF00FF"/>
      <rgbColor rgb="FFFFFF00"/>
      <rgbColor rgb="FF00FFFF"/>
      <rgbColor rgb="FF800080"/>
      <rgbColor rgb="FF800000"/>
      <rgbColor rgb="FF008080"/>
      <rgbColor rgb="FF0000FF"/>
      <rgbColor rgb="FF00CCFF"/>
      <rgbColor rgb="FFE8EEF4"/>
      <rgbColor rgb="FFDCEEDC"/>
      <rgbColor rgb="FFFFF4D6"/>
      <rgbColor rgb="FF99CCFF"/>
      <rgbColor rgb="FFFF99CC"/>
      <rgbColor rgb="FFCC99FF"/>
      <rgbColor rgb="FFFDE7E9"/>
      <rgbColor rgb="FF2E75B6"/>
      <rgbColor rgb="FF33CCCC"/>
      <rgbColor rgb="FF99CC00"/>
      <rgbColor rgb="FFFFCC00"/>
      <rgbColor rgb="FFFF9900"/>
      <rgbColor rgb="FFFF6600"/>
      <rgbColor rgb="FF6B7280"/>
      <rgbColor rgb="FF969696"/>
      <rgbColor rgb="FF1F3A5F"/>
      <rgbColor rgb="FF2E7D32"/>
      <rgbColor rgb="FF003300"/>
      <rgbColor rgb="FF333300"/>
      <rgbColor rgb="FFB91C1C"/>
      <rgbColor rgb="FF993366"/>
      <rgbColor rgb="FF333399"/>
      <rgbColor rgb="FF2D2D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false"/>
  </sheetPr>
  <dimension ref="A1:K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50"/>
    <col collapsed="false" customWidth="true" hidden="false" outlineLevel="0" max="4" min="4" style="0" width="20"/>
    <col collapsed="false" customWidth="true" hidden="false" outlineLevel="0" max="5" min="5" style="0" width="26"/>
    <col collapsed="false" customWidth="true" hidden="false" outlineLevel="0" max="6" min="6" style="0" width="30"/>
    <col collapsed="false" customWidth="true" hidden="false" outlineLevel="0" max="7" min="7" style="0" width="12"/>
    <col collapsed="false" customWidth="true" hidden="false" outlineLevel="0" max="8" min="8" style="0" width="11"/>
    <col collapsed="false" customWidth="true" hidden="false" outlineLevel="0" max="9" min="9" style="0" width="28"/>
    <col collapsed="false" customWidth="true" hidden="false" outlineLevel="0" max="10" min="10" style="0" width="14"/>
    <col collapsed="false" customWidth="true" hidden="false" outlineLevel="0" max="11" min="11" style="0" width="24"/>
  </cols>
  <sheetData>
    <row r="1" customFormat="false" ht="27.75" hidden="false" customHeight="true" outlineLevel="0" collapsed="false">
      <c r="A1" s="1" t="s">
        <v>0</v>
      </c>
      <c r="B1" s="1"/>
      <c r="C1" s="1"/>
      <c r="D1" s="1"/>
      <c r="E1" s="1"/>
      <c r="F1" s="1"/>
      <c r="G1" s="1"/>
      <c r="H1" s="1"/>
      <c r="I1" s="1"/>
      <c r="J1" s="1"/>
      <c r="K1" s="1"/>
    </row>
    <row r="2" customFormat="false" ht="15" hidden="false" customHeight="false" outlineLevel="0" collapsed="false">
      <c r="A2" s="2" t="s">
        <v>1</v>
      </c>
      <c r="B2" s="2"/>
      <c r="C2" s="2"/>
      <c r="D2" s="2"/>
      <c r="E2" s="2"/>
      <c r="F2" s="2"/>
      <c r="G2" s="2"/>
      <c r="H2" s="2"/>
      <c r="I2" s="2"/>
      <c r="J2" s="2"/>
      <c r="K2" s="2"/>
    </row>
    <row r="4" customFormat="false" ht="31.5" hidden="false" customHeight="true" outlineLevel="0" collapsed="false">
      <c r="A4" s="3" t="s">
        <v>2</v>
      </c>
      <c r="B4" s="3" t="s">
        <v>3</v>
      </c>
      <c r="C4" s="3" t="s">
        <v>4</v>
      </c>
      <c r="D4" s="3" t="s">
        <v>5</v>
      </c>
      <c r="E4" s="3" t="s">
        <v>6</v>
      </c>
      <c r="F4" s="3" t="s">
        <v>7</v>
      </c>
      <c r="G4" s="3" t="s">
        <v>8</v>
      </c>
      <c r="H4" s="3" t="s">
        <v>9</v>
      </c>
      <c r="I4" s="3" t="s">
        <v>10</v>
      </c>
      <c r="J4" s="3" t="s">
        <v>11</v>
      </c>
      <c r="K4" s="3" t="s">
        <v>12</v>
      </c>
    </row>
    <row r="5" customFormat="false" ht="25.5" hidden="false" customHeight="true" outlineLevel="0" collapsed="false">
      <c r="A5" s="4" t="s">
        <v>13</v>
      </c>
      <c r="B5" s="4"/>
      <c r="C5" s="4"/>
      <c r="D5" s="4"/>
      <c r="E5" s="4"/>
      <c r="F5" s="4"/>
      <c r="G5" s="4"/>
      <c r="H5" s="4"/>
      <c r="I5" s="4"/>
      <c r="J5" s="4"/>
      <c r="K5" s="4"/>
    </row>
    <row r="6" customFormat="false" ht="79.5" hidden="false" customHeight="true" outlineLevel="0" collapsed="false">
      <c r="A6" s="5" t="n">
        <v>1</v>
      </c>
      <c r="B6" s="6" t="s">
        <v>14</v>
      </c>
      <c r="C6" s="7" t="s">
        <v>15</v>
      </c>
      <c r="D6" s="7" t="s">
        <v>16</v>
      </c>
      <c r="E6" s="7" t="s">
        <v>17</v>
      </c>
      <c r="F6" s="7" t="s">
        <v>18</v>
      </c>
      <c r="G6" s="8" t="s">
        <v>19</v>
      </c>
      <c r="H6" s="9" t="n">
        <v>4</v>
      </c>
      <c r="I6" s="7" t="s">
        <v>20</v>
      </c>
      <c r="J6" s="10"/>
      <c r="K6" s="11"/>
    </row>
    <row r="7" customFormat="false" ht="79.5" hidden="false" customHeight="true" outlineLevel="0" collapsed="false">
      <c r="A7" s="5" t="n">
        <v>2</v>
      </c>
      <c r="B7" s="6" t="s">
        <v>21</v>
      </c>
      <c r="C7" s="7" t="s">
        <v>22</v>
      </c>
      <c r="D7" s="7" t="s">
        <v>23</v>
      </c>
      <c r="E7" s="7" t="s">
        <v>24</v>
      </c>
      <c r="F7" s="7" t="s">
        <v>25</v>
      </c>
      <c r="G7" s="8" t="s">
        <v>19</v>
      </c>
      <c r="H7" s="9" t="n">
        <v>4</v>
      </c>
      <c r="I7" s="7" t="s">
        <v>26</v>
      </c>
      <c r="J7" s="10"/>
      <c r="K7" s="11"/>
    </row>
    <row r="8" customFormat="false" ht="79.5" hidden="false" customHeight="true" outlineLevel="0" collapsed="false">
      <c r="A8" s="5" t="n">
        <v>3</v>
      </c>
      <c r="B8" s="6" t="s">
        <v>27</v>
      </c>
      <c r="C8" s="7" t="s">
        <v>28</v>
      </c>
      <c r="D8" s="7" t="s">
        <v>29</v>
      </c>
      <c r="E8" s="7" t="s">
        <v>30</v>
      </c>
      <c r="F8" s="7" t="s">
        <v>31</v>
      </c>
      <c r="G8" s="8" t="s">
        <v>19</v>
      </c>
      <c r="H8" s="9" t="n">
        <v>3</v>
      </c>
      <c r="I8" s="7" t="s">
        <v>32</v>
      </c>
      <c r="J8" s="10"/>
      <c r="K8" s="11"/>
    </row>
    <row r="9" customFormat="false" ht="25.5" hidden="false" customHeight="true" outlineLevel="0" collapsed="false">
      <c r="A9" s="4" t="s">
        <v>33</v>
      </c>
      <c r="B9" s="4"/>
      <c r="C9" s="4"/>
      <c r="D9" s="4"/>
      <c r="E9" s="4"/>
      <c r="F9" s="4"/>
      <c r="G9" s="4"/>
      <c r="H9" s="4"/>
      <c r="I9" s="4"/>
      <c r="J9" s="4"/>
      <c r="K9" s="4"/>
    </row>
    <row r="10" customFormat="false" ht="79.5" hidden="false" customHeight="true" outlineLevel="0" collapsed="false">
      <c r="A10" s="5" t="n">
        <v>4</v>
      </c>
      <c r="B10" s="6" t="s">
        <v>34</v>
      </c>
      <c r="C10" s="7" t="s">
        <v>35</v>
      </c>
      <c r="D10" s="7" t="s">
        <v>36</v>
      </c>
      <c r="E10" s="7" t="s">
        <v>37</v>
      </c>
      <c r="F10" s="7" t="s">
        <v>38</v>
      </c>
      <c r="G10" s="8" t="s">
        <v>19</v>
      </c>
      <c r="H10" s="9" t="n">
        <v>5</v>
      </c>
      <c r="I10" s="7" t="s">
        <v>39</v>
      </c>
      <c r="J10" s="10"/>
      <c r="K10" s="11"/>
    </row>
    <row r="11" customFormat="false" ht="79.5" hidden="false" customHeight="true" outlineLevel="0" collapsed="false">
      <c r="A11" s="5" t="n">
        <v>5</v>
      </c>
      <c r="B11" s="6" t="s">
        <v>40</v>
      </c>
      <c r="C11" s="7" t="s">
        <v>41</v>
      </c>
      <c r="D11" s="7" t="s">
        <v>23</v>
      </c>
      <c r="E11" s="7" t="s">
        <v>42</v>
      </c>
      <c r="F11" s="7" t="s">
        <v>43</v>
      </c>
      <c r="G11" s="8" t="s">
        <v>19</v>
      </c>
      <c r="H11" s="9" t="n">
        <v>4</v>
      </c>
      <c r="I11" s="7" t="s">
        <v>44</v>
      </c>
      <c r="J11" s="10"/>
      <c r="K11" s="11"/>
    </row>
    <row r="12" customFormat="false" ht="79.5" hidden="false" customHeight="true" outlineLevel="0" collapsed="false">
      <c r="A12" s="5" t="n">
        <v>6</v>
      </c>
      <c r="B12" s="6" t="s">
        <v>45</v>
      </c>
      <c r="C12" s="7" t="s">
        <v>46</v>
      </c>
      <c r="D12" s="7" t="s">
        <v>29</v>
      </c>
      <c r="E12" s="7" t="s">
        <v>47</v>
      </c>
      <c r="F12" s="7" t="s">
        <v>48</v>
      </c>
      <c r="G12" s="8" t="s">
        <v>19</v>
      </c>
      <c r="H12" s="9" t="n">
        <v>3</v>
      </c>
      <c r="I12" s="7" t="s">
        <v>49</v>
      </c>
      <c r="J12" s="10"/>
      <c r="K12" s="11"/>
    </row>
    <row r="13" customFormat="false" ht="25.5" hidden="false" customHeight="true" outlineLevel="0" collapsed="false">
      <c r="A13" s="4" t="s">
        <v>50</v>
      </c>
      <c r="B13" s="4"/>
      <c r="C13" s="4"/>
      <c r="D13" s="4"/>
      <c r="E13" s="4"/>
      <c r="F13" s="4"/>
      <c r="G13" s="4"/>
      <c r="H13" s="4"/>
      <c r="I13" s="4"/>
      <c r="J13" s="4"/>
      <c r="K13" s="4"/>
    </row>
    <row r="14" customFormat="false" ht="79.5" hidden="false" customHeight="true" outlineLevel="0" collapsed="false">
      <c r="A14" s="5" t="n">
        <v>7</v>
      </c>
      <c r="B14" s="6" t="s">
        <v>51</v>
      </c>
      <c r="C14" s="7" t="s">
        <v>52</v>
      </c>
      <c r="D14" s="7" t="s">
        <v>53</v>
      </c>
      <c r="E14" s="7" t="s">
        <v>54</v>
      </c>
      <c r="F14" s="7" t="s">
        <v>55</v>
      </c>
      <c r="G14" s="8" t="s">
        <v>56</v>
      </c>
      <c r="H14" s="9" t="n">
        <v>5</v>
      </c>
      <c r="I14" s="7" t="s">
        <v>57</v>
      </c>
      <c r="J14" s="10"/>
      <c r="K14" s="11"/>
    </row>
    <row r="15" customFormat="false" ht="79.5" hidden="false" customHeight="true" outlineLevel="0" collapsed="false">
      <c r="A15" s="5" t="n">
        <v>8</v>
      </c>
      <c r="B15" s="6" t="s">
        <v>58</v>
      </c>
      <c r="C15" s="7" t="s">
        <v>59</v>
      </c>
      <c r="D15" s="7" t="s">
        <v>60</v>
      </c>
      <c r="E15" s="7" t="s">
        <v>61</v>
      </c>
      <c r="F15" s="7" t="s">
        <v>62</v>
      </c>
      <c r="G15" s="8" t="s">
        <v>19</v>
      </c>
      <c r="H15" s="9" t="n">
        <v>4</v>
      </c>
      <c r="I15" s="7" t="s">
        <v>63</v>
      </c>
      <c r="J15" s="10"/>
      <c r="K15" s="11"/>
    </row>
    <row r="16" customFormat="false" ht="79.5" hidden="false" customHeight="true" outlineLevel="0" collapsed="false">
      <c r="A16" s="5" t="n">
        <v>9</v>
      </c>
      <c r="B16" s="6" t="s">
        <v>64</v>
      </c>
      <c r="C16" s="7" t="s">
        <v>65</v>
      </c>
      <c r="D16" s="7" t="s">
        <v>66</v>
      </c>
      <c r="E16" s="7" t="s">
        <v>67</v>
      </c>
      <c r="F16" s="7" t="s">
        <v>68</v>
      </c>
      <c r="G16" s="8" t="s">
        <v>19</v>
      </c>
      <c r="H16" s="9" t="n">
        <v>4</v>
      </c>
      <c r="I16" s="7" t="s">
        <v>69</v>
      </c>
      <c r="J16" s="10"/>
      <c r="K16" s="11"/>
    </row>
    <row r="17" customFormat="false" ht="25.5" hidden="false" customHeight="true" outlineLevel="0" collapsed="false">
      <c r="A17" s="4" t="s">
        <v>70</v>
      </c>
      <c r="B17" s="4"/>
      <c r="C17" s="4"/>
      <c r="D17" s="4"/>
      <c r="E17" s="4"/>
      <c r="F17" s="4"/>
      <c r="G17" s="4"/>
      <c r="H17" s="4"/>
      <c r="I17" s="4"/>
      <c r="J17" s="4"/>
      <c r="K17" s="4"/>
    </row>
    <row r="18" customFormat="false" ht="79.5" hidden="false" customHeight="true" outlineLevel="0" collapsed="false">
      <c r="A18" s="5" t="n">
        <v>10</v>
      </c>
      <c r="B18" s="6" t="s">
        <v>71</v>
      </c>
      <c r="C18" s="7" t="s">
        <v>72</v>
      </c>
      <c r="D18" s="7" t="s">
        <v>73</v>
      </c>
      <c r="E18" s="7" t="s">
        <v>74</v>
      </c>
      <c r="F18" s="7" t="s">
        <v>75</v>
      </c>
      <c r="G18" s="8" t="s">
        <v>19</v>
      </c>
      <c r="H18" s="9" t="n">
        <v>4</v>
      </c>
      <c r="I18" s="7" t="s">
        <v>76</v>
      </c>
      <c r="J18" s="10"/>
      <c r="K18" s="11"/>
    </row>
    <row r="20" customFormat="false" ht="15" hidden="false" customHeight="false" outlineLevel="0" collapsed="false">
      <c r="A20" s="12" t="s">
        <v>77</v>
      </c>
      <c r="B20" s="12"/>
      <c r="C20" s="12"/>
      <c r="D20" s="12"/>
    </row>
    <row r="21" customFormat="false" ht="17.35" hidden="false" customHeight="false" outlineLevel="0" collapsed="false">
      <c r="A21" s="13" t="s">
        <v>78</v>
      </c>
      <c r="B21" s="14" t="n">
        <f aca="false">COUNTIF(J5:J18,"Sí")</f>
        <v>0</v>
      </c>
    </row>
    <row r="22" customFormat="false" ht="17.35" hidden="false" customHeight="false" outlineLevel="0" collapsed="false">
      <c r="A22" s="13" t="s">
        <v>79</v>
      </c>
      <c r="B22" s="15" t="n">
        <f aca="false">COUNTIF(J5:J18,"Tal vez")</f>
        <v>0</v>
      </c>
    </row>
    <row r="23" customFormat="false" ht="17.35" hidden="false" customHeight="false" outlineLevel="0" collapsed="false">
      <c r="A23" s="16" t="s">
        <v>80</v>
      </c>
      <c r="B23" s="17" t="n">
        <f aca="false">COUNTIF(J5:J18,"Sí")+COUNTIF(J5:J18,"Tal vez")</f>
        <v>0</v>
      </c>
    </row>
  </sheetData>
  <mergeCells count="7">
    <mergeCell ref="A1:K1"/>
    <mergeCell ref="A2:K2"/>
    <mergeCell ref="A5:K5"/>
    <mergeCell ref="A9:K9"/>
    <mergeCell ref="A13:K13"/>
    <mergeCell ref="A17:K17"/>
    <mergeCell ref="A20:D20"/>
  </mergeCells>
  <dataValidations count="1">
    <dataValidation allowBlank="true" errorStyle="stop" operator="between" showDropDown="false" showErrorMessage="false" showInputMessage="false" sqref="J5:J18" type="list">
      <formula1>"Sí,No,Tal vez"</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60"/>
    <col collapsed="false" customWidth="true" hidden="false" outlineLevel="0" max="3" min="3" style="0" width="24"/>
  </cols>
  <sheetData>
    <row r="1" customFormat="false" ht="27.75" hidden="false" customHeight="true" outlineLevel="0" collapsed="false">
      <c r="A1" s="1" t="s">
        <v>81</v>
      </c>
      <c r="B1" s="1"/>
      <c r="C1" s="1"/>
      <c r="D1" s="1"/>
      <c r="E1" s="1"/>
    </row>
    <row r="2" customFormat="false" ht="15" hidden="false" customHeight="false" outlineLevel="0" collapsed="false">
      <c r="A2" s="2" t="s">
        <v>82</v>
      </c>
      <c r="B2" s="2"/>
      <c r="C2" s="2"/>
      <c r="D2" s="2"/>
      <c r="E2" s="2"/>
    </row>
    <row r="4" customFormat="false" ht="15" hidden="false" customHeight="false" outlineLevel="0" collapsed="false">
      <c r="A4" s="16" t="s">
        <v>83</v>
      </c>
      <c r="B4" s="18" t="s">
        <v>84</v>
      </c>
      <c r="C4" s="18"/>
      <c r="D4" s="18"/>
      <c r="E4" s="18"/>
    </row>
    <row r="6" customFormat="false" ht="15" hidden="false" customHeight="false" outlineLevel="0" collapsed="false">
      <c r="A6" s="3" t="s">
        <v>2</v>
      </c>
      <c r="B6" s="3" t="s">
        <v>85</v>
      </c>
      <c r="C6" s="3" t="s">
        <v>86</v>
      </c>
    </row>
    <row r="8" customFormat="false" ht="15" hidden="false" customHeight="false" outlineLevel="0" collapsed="false">
      <c r="A8" s="19" t="s">
        <v>87</v>
      </c>
      <c r="B8" s="19"/>
      <c r="C8" s="19"/>
    </row>
    <row r="9" customFormat="false" ht="30" hidden="false" customHeight="true" outlineLevel="0" collapsed="false">
      <c r="A9" s="20" t="s">
        <v>88</v>
      </c>
      <c r="B9" s="21" t="s">
        <v>89</v>
      </c>
      <c r="C9" s="22"/>
    </row>
    <row r="10" customFormat="false" ht="30" hidden="false" customHeight="true" outlineLevel="0" collapsed="false">
      <c r="A10" s="20" t="s">
        <v>90</v>
      </c>
      <c r="B10" s="21" t="s">
        <v>91</v>
      </c>
      <c r="C10" s="22"/>
    </row>
    <row r="11" customFormat="false" ht="30" hidden="false" customHeight="true" outlineLevel="0" collapsed="false">
      <c r="A11" s="20" t="s">
        <v>92</v>
      </c>
      <c r="B11" s="21" t="s">
        <v>93</v>
      </c>
      <c r="C11" s="22"/>
    </row>
    <row r="12" customFormat="false" ht="30" hidden="false" customHeight="true" outlineLevel="0" collapsed="false">
      <c r="A12" s="20" t="s">
        <v>94</v>
      </c>
      <c r="B12" s="21" t="s">
        <v>95</v>
      </c>
      <c r="C12" s="22"/>
    </row>
    <row r="14" customFormat="false" ht="15" hidden="false" customHeight="false" outlineLevel="0" collapsed="false">
      <c r="A14" s="23" t="s">
        <v>96</v>
      </c>
      <c r="B14" s="23"/>
      <c r="C14" s="23"/>
    </row>
    <row r="15" customFormat="false" ht="30" hidden="false" customHeight="true" outlineLevel="0" collapsed="false">
      <c r="A15" s="24" t="s">
        <v>97</v>
      </c>
      <c r="B15" s="21" t="s">
        <v>98</v>
      </c>
      <c r="C15" s="22"/>
    </row>
    <row r="16" customFormat="false" ht="30" hidden="false" customHeight="true" outlineLevel="0" collapsed="false">
      <c r="A16" s="24" t="s">
        <v>99</v>
      </c>
      <c r="B16" s="21" t="s">
        <v>100</v>
      </c>
      <c r="C16" s="22"/>
    </row>
    <row r="17" customFormat="false" ht="30" hidden="false" customHeight="true" outlineLevel="0" collapsed="false">
      <c r="A17" s="24" t="s">
        <v>101</v>
      </c>
      <c r="B17" s="21" t="s">
        <v>102</v>
      </c>
      <c r="C17" s="22"/>
    </row>
    <row r="18" customFormat="false" ht="30" hidden="false" customHeight="true" outlineLevel="0" collapsed="false">
      <c r="A18" s="24" t="s">
        <v>103</v>
      </c>
      <c r="B18" s="21" t="s">
        <v>104</v>
      </c>
      <c r="C18" s="22"/>
    </row>
    <row r="20" customFormat="false" ht="15" hidden="false" customHeight="false" outlineLevel="0" collapsed="false">
      <c r="A20" s="23" t="s">
        <v>105</v>
      </c>
      <c r="B20" s="23"/>
      <c r="C20" s="23"/>
    </row>
    <row r="21" customFormat="false" ht="30" hidden="false" customHeight="true" outlineLevel="0" collapsed="false">
      <c r="A21" s="24" t="s">
        <v>106</v>
      </c>
      <c r="B21" s="21" t="s">
        <v>107</v>
      </c>
      <c r="C21" s="22"/>
    </row>
    <row r="22" customFormat="false" ht="30" hidden="false" customHeight="true" outlineLevel="0" collapsed="false">
      <c r="A22" s="24" t="s">
        <v>108</v>
      </c>
      <c r="B22" s="21" t="s">
        <v>109</v>
      </c>
      <c r="C22" s="22"/>
    </row>
    <row r="23" customFormat="false" ht="30" hidden="false" customHeight="true" outlineLevel="0" collapsed="false">
      <c r="A23" s="24" t="s">
        <v>110</v>
      </c>
      <c r="B23" s="21" t="s">
        <v>111</v>
      </c>
      <c r="C23" s="22"/>
    </row>
    <row r="24" customFormat="false" ht="30" hidden="false" customHeight="true" outlineLevel="0" collapsed="false">
      <c r="A24" s="24" t="s">
        <v>112</v>
      </c>
      <c r="B24" s="21" t="s">
        <v>113</v>
      </c>
      <c r="C24" s="22"/>
    </row>
    <row r="26" customFormat="false" ht="15" hidden="false" customHeight="false" outlineLevel="0" collapsed="false">
      <c r="A26" s="23" t="s">
        <v>114</v>
      </c>
      <c r="B26" s="23"/>
      <c r="C26" s="23"/>
    </row>
    <row r="27" customFormat="false" ht="30" hidden="false" customHeight="true" outlineLevel="0" collapsed="false">
      <c r="A27" s="24" t="s">
        <v>115</v>
      </c>
      <c r="B27" s="21" t="s">
        <v>116</v>
      </c>
      <c r="C27" s="22"/>
    </row>
    <row r="28" customFormat="false" ht="30" hidden="false" customHeight="true" outlineLevel="0" collapsed="false">
      <c r="A28" s="24" t="s">
        <v>117</v>
      </c>
      <c r="B28" s="21" t="s">
        <v>118</v>
      </c>
      <c r="C28" s="22"/>
    </row>
    <row r="29" customFormat="false" ht="30" hidden="false" customHeight="true" outlineLevel="0" collapsed="false">
      <c r="A29" s="24" t="s">
        <v>119</v>
      </c>
      <c r="B29" s="21" t="s">
        <v>120</v>
      </c>
      <c r="C29" s="22"/>
    </row>
    <row r="30" customFormat="false" ht="30" hidden="false" customHeight="true" outlineLevel="0" collapsed="false">
      <c r="A30" s="24" t="s">
        <v>121</v>
      </c>
      <c r="B30" s="21" t="s">
        <v>122</v>
      </c>
      <c r="C30" s="22"/>
    </row>
    <row r="33" customFormat="false" ht="16.15" hidden="false" customHeight="false" outlineLevel="0" collapsed="false">
      <c r="A33" s="25" t="s">
        <v>123</v>
      </c>
      <c r="B33" s="25"/>
      <c r="C33" s="25"/>
    </row>
    <row r="34" customFormat="false" ht="19.7" hidden="false" customHeight="false" outlineLevel="0" collapsed="false">
      <c r="A34" s="26" t="s">
        <v>124</v>
      </c>
      <c r="B34" s="27" t="n">
        <f aca="false">IFERROR(AVERAGE(C9:C12),0)</f>
        <v>0</v>
      </c>
      <c r="C34" s="28" t="str">
        <f aca="false">IF(B34=0,"Sin datos",IF(B34&gt;=3.5,"Pain ALTO",IF(B34&gt;=2.5,"Pain MEDIO","Pain BAJO")))</f>
        <v>Sin datos</v>
      </c>
    </row>
    <row r="35" customFormat="false" ht="19.7" hidden="false" customHeight="false" outlineLevel="0" collapsed="false">
      <c r="A35" s="26" t="s">
        <v>125</v>
      </c>
      <c r="B35" s="29" t="n">
        <f aca="false">IFERROR(AVERAGE(C15:C18,C21:C24,C27:C30),0)</f>
        <v>0</v>
      </c>
      <c r="C35" s="28" t="str">
        <f aca="false">IF(B35=0,"Sin datos",IF(B35&gt;=3.5,"Readiness ALTA",IF(B35&gt;=2.5,"Readiness MEDIA","Readiness BAJA")))</f>
        <v>Sin datos</v>
      </c>
    </row>
    <row r="37" customFormat="false" ht="39.75" hidden="false" customHeight="true" outlineLevel="0" collapsed="false">
      <c r="A37" s="30" t="s">
        <v>126</v>
      </c>
      <c r="B37" s="31" t="str">
        <f aca="false">IF(OR(B34=0,B35=0),"Completa primero el cuestionario",IF(AND(B34&gt;=3.5,B35&gt;=3.5),"QUICK WIN PRIORITARIO — Avanzar ahora",IF(AND(B34&gt;=3.5,B35&lt;3.5),"INVERTIR EN HABILITADORES PRIMERO — Pain alto pero falta readiness (revisa pestaña Habilitadores)",IF(AND(B34&lt;3.5,B35&gt;=3.5),"OPORTUNIDAD SIN URGENCIA — Capacidad sí, pain no","AÚN NO ES MOMENTO — Construir capacidad antes (revisa pestaña Habilitadores)"))))</f>
        <v>Completa primero el cuestionario</v>
      </c>
      <c r="C37" s="31"/>
    </row>
    <row r="40" customFormat="false" ht="16.15" hidden="false" customHeight="false" outlineLevel="0" collapsed="false">
      <c r="A40" s="25" t="s">
        <v>127</v>
      </c>
      <c r="B40" s="25"/>
      <c r="C40" s="25"/>
    </row>
    <row r="41" customFormat="false" ht="15" hidden="false" customHeight="false" outlineLevel="0" collapsed="false">
      <c r="B41" s="3" t="s">
        <v>128</v>
      </c>
      <c r="C41" s="3" t="s">
        <v>129</v>
      </c>
    </row>
    <row r="42" customFormat="false" ht="30" hidden="false" customHeight="true" outlineLevel="0" collapsed="false">
      <c r="A42" s="3" t="s">
        <v>130</v>
      </c>
      <c r="B42" s="32" t="s">
        <v>131</v>
      </c>
      <c r="C42" s="33" t="s">
        <v>132</v>
      </c>
    </row>
    <row r="43" customFormat="false" ht="30" hidden="false" customHeight="true" outlineLevel="0" collapsed="false">
      <c r="A43" s="3" t="s">
        <v>133</v>
      </c>
      <c r="B43" s="34" t="s">
        <v>134</v>
      </c>
      <c r="C43" s="35" t="s">
        <v>135</v>
      </c>
    </row>
  </sheetData>
  <mergeCells count="10">
    <mergeCell ref="A1:E1"/>
    <mergeCell ref="A2:E2"/>
    <mergeCell ref="B4:E4"/>
    <mergeCell ref="A8:C8"/>
    <mergeCell ref="A14:C14"/>
    <mergeCell ref="A20:C20"/>
    <mergeCell ref="A26:C26"/>
    <mergeCell ref="A33:C33"/>
    <mergeCell ref="B37:C37"/>
    <mergeCell ref="A40:C40"/>
  </mergeCells>
  <dataValidations count="1">
    <dataValidation allowBlank="true" error="Ingresa un valor entre 1 y 5" errorStyle="stop" errorTitle="Valor inválido" operator="between" showDropDown="false" showErrorMessage="false" showInputMessage="false" sqref="C9:C12 C15:C18 C21:C24 C27:C30"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4" min="1" style="0" width="30"/>
  </cols>
  <sheetData>
    <row r="1" customFormat="false" ht="27.75" hidden="false" customHeight="true" outlineLevel="0" collapsed="false">
      <c r="A1" s="1" t="s">
        <v>136</v>
      </c>
      <c r="B1" s="1"/>
      <c r="C1" s="1"/>
      <c r="D1" s="1"/>
    </row>
    <row r="2" customFormat="false" ht="15" hidden="false" customHeight="false" outlineLevel="0" collapsed="false">
      <c r="A2" s="2" t="s">
        <v>137</v>
      </c>
      <c r="B2" s="2"/>
      <c r="C2" s="2"/>
      <c r="D2" s="2"/>
    </row>
    <row r="4" customFormat="false" ht="15" hidden="false" customHeight="true" outlineLevel="0" collapsed="false">
      <c r="A4" s="36" t="s">
        <v>138</v>
      </c>
      <c r="B4" s="36"/>
      <c r="C4" s="36"/>
      <c r="D4" s="36"/>
    </row>
    <row r="5" customFormat="false" ht="15" hidden="false" customHeight="true" outlineLevel="0" collapsed="false">
      <c r="A5" s="37" t="s">
        <v>139</v>
      </c>
      <c r="B5" s="37"/>
      <c r="C5" s="37"/>
      <c r="D5" s="37"/>
    </row>
    <row r="6" customFormat="false" ht="37.5" hidden="false" customHeight="true" outlineLevel="0" collapsed="false">
      <c r="A6" s="38" t="s">
        <v>140</v>
      </c>
      <c r="B6" s="38"/>
      <c r="C6" s="38"/>
      <c r="D6" s="38"/>
    </row>
    <row r="7" customFormat="false" ht="15" hidden="false" customHeight="true" outlineLevel="0" collapsed="false">
      <c r="A7" s="36" t="s">
        <v>141</v>
      </c>
      <c r="B7" s="36"/>
      <c r="C7" s="36"/>
      <c r="D7" s="36"/>
    </row>
    <row r="8" customFormat="false" ht="15" hidden="false" customHeight="true" outlineLevel="0" collapsed="false">
      <c r="A8" s="37" t="s">
        <v>142</v>
      </c>
      <c r="B8" s="37"/>
      <c r="C8" s="37"/>
      <c r="D8" s="37"/>
    </row>
    <row r="9" customFormat="false" ht="37.5" hidden="false" customHeight="true" outlineLevel="0" collapsed="false">
      <c r="A9" s="38" t="s">
        <v>143</v>
      </c>
      <c r="B9" s="38"/>
      <c r="C9" s="38"/>
      <c r="D9" s="38"/>
    </row>
    <row r="10" customFormat="false" ht="15" hidden="false" customHeight="true" outlineLevel="0" collapsed="false">
      <c r="A10" s="36" t="s">
        <v>144</v>
      </c>
      <c r="B10" s="36"/>
      <c r="C10" s="36"/>
      <c r="D10" s="36"/>
    </row>
    <row r="11" customFormat="false" ht="15" hidden="false" customHeight="true" outlineLevel="0" collapsed="false">
      <c r="A11" s="37" t="s">
        <v>145</v>
      </c>
      <c r="B11" s="37"/>
      <c r="C11" s="37"/>
      <c r="D11" s="37"/>
    </row>
    <row r="12" customFormat="false" ht="37.5" hidden="false" customHeight="true" outlineLevel="0" collapsed="false">
      <c r="A12" s="38" t="s">
        <v>146</v>
      </c>
      <c r="B12" s="38"/>
      <c r="C12" s="38"/>
      <c r="D12" s="38"/>
    </row>
    <row r="13" customFormat="false" ht="15" hidden="false" customHeight="true" outlineLevel="0" collapsed="false">
      <c r="A13" s="36" t="s">
        <v>147</v>
      </c>
      <c r="B13" s="36"/>
      <c r="C13" s="36"/>
      <c r="D13" s="36"/>
    </row>
    <row r="14" customFormat="false" ht="15" hidden="false" customHeight="true" outlineLevel="0" collapsed="false">
      <c r="A14" s="37" t="s">
        <v>148</v>
      </c>
      <c r="B14" s="37"/>
      <c r="C14" s="37"/>
      <c r="D14" s="37"/>
    </row>
    <row r="15" customFormat="false" ht="37.5" hidden="false" customHeight="true" outlineLevel="0" collapsed="false">
      <c r="A15" s="38" t="s">
        <v>149</v>
      </c>
      <c r="B15" s="38"/>
      <c r="C15" s="38"/>
      <c r="D15" s="38"/>
    </row>
    <row r="16" customFormat="false" ht="15" hidden="false" customHeight="true" outlineLevel="0" collapsed="false">
      <c r="A16" s="36" t="s">
        <v>150</v>
      </c>
      <c r="B16" s="36"/>
      <c r="C16" s="36"/>
      <c r="D16" s="36"/>
    </row>
    <row r="17" customFormat="false" ht="15" hidden="false" customHeight="true" outlineLevel="0" collapsed="false">
      <c r="A17" s="37" t="s">
        <v>151</v>
      </c>
      <c r="B17" s="37"/>
      <c r="C17" s="37"/>
      <c r="D17" s="37"/>
    </row>
    <row r="18" customFormat="false" ht="37.5" hidden="false" customHeight="true" outlineLevel="0" collapsed="false">
      <c r="A18" s="38" t="s">
        <v>152</v>
      </c>
      <c r="B18" s="38"/>
      <c r="C18" s="38"/>
      <c r="D18" s="38"/>
    </row>
    <row r="19" customFormat="false" ht="15" hidden="false" customHeight="true" outlineLevel="0" collapsed="false">
      <c r="A19" s="36" t="s">
        <v>153</v>
      </c>
      <c r="B19" s="36"/>
      <c r="C19" s="36"/>
      <c r="D19" s="36"/>
    </row>
    <row r="20" customFormat="false" ht="15" hidden="false" customHeight="true" outlineLevel="0" collapsed="false">
      <c r="A20" s="37" t="s">
        <v>154</v>
      </c>
      <c r="B20" s="37"/>
      <c r="C20" s="37"/>
      <c r="D20" s="37"/>
    </row>
    <row r="21" customFormat="false" ht="37.5" hidden="false" customHeight="true" outlineLevel="0" collapsed="false">
      <c r="A21" s="38" t="s">
        <v>155</v>
      </c>
      <c r="B21" s="38"/>
      <c r="C21" s="38"/>
      <c r="D21" s="38"/>
    </row>
    <row r="22" customFormat="false" ht="15" hidden="false" customHeight="true" outlineLevel="0" collapsed="false">
      <c r="A22" s="36" t="s">
        <v>156</v>
      </c>
      <c r="B22" s="36"/>
      <c r="C22" s="36"/>
      <c r="D22" s="36"/>
    </row>
    <row r="23" customFormat="false" ht="15" hidden="false" customHeight="true" outlineLevel="0" collapsed="false">
      <c r="A23" s="37" t="s">
        <v>157</v>
      </c>
      <c r="B23" s="37"/>
      <c r="C23" s="37"/>
      <c r="D23" s="37"/>
    </row>
    <row r="24" customFormat="false" ht="37.5" hidden="false" customHeight="true" outlineLevel="0" collapsed="false">
      <c r="A24" s="38" t="s">
        <v>158</v>
      </c>
      <c r="B24" s="38"/>
      <c r="C24" s="38"/>
      <c r="D24" s="38"/>
    </row>
    <row r="25" customFormat="false" ht="15" hidden="false" customHeight="true" outlineLevel="0" collapsed="false">
      <c r="A25" s="36" t="s">
        <v>159</v>
      </c>
      <c r="B25" s="36"/>
      <c r="C25" s="36"/>
      <c r="D25" s="36"/>
    </row>
    <row r="26" customFormat="false" ht="15" hidden="false" customHeight="true" outlineLevel="0" collapsed="false">
      <c r="A26" s="37" t="s">
        <v>160</v>
      </c>
      <c r="B26" s="37"/>
      <c r="C26" s="37"/>
      <c r="D26" s="37"/>
    </row>
    <row r="27" customFormat="false" ht="37.5" hidden="false" customHeight="true" outlineLevel="0" collapsed="false">
      <c r="A27" s="38" t="s">
        <v>161</v>
      </c>
      <c r="B27" s="38"/>
      <c r="C27" s="38"/>
      <c r="D27" s="38"/>
    </row>
    <row r="28" customFormat="false" ht="15" hidden="false" customHeight="true" outlineLevel="0" collapsed="false">
      <c r="A28" s="36" t="s">
        <v>162</v>
      </c>
      <c r="B28" s="36"/>
      <c r="C28" s="36"/>
      <c r="D28" s="36"/>
    </row>
    <row r="29" customFormat="false" ht="15" hidden="false" customHeight="true" outlineLevel="0" collapsed="false">
      <c r="A29" s="37" t="s">
        <v>163</v>
      </c>
      <c r="B29" s="37"/>
      <c r="C29" s="37"/>
      <c r="D29" s="37"/>
    </row>
    <row r="30" customFormat="false" ht="37.5" hidden="false" customHeight="true" outlineLevel="0" collapsed="false">
      <c r="A30" s="38" t="s">
        <v>164</v>
      </c>
      <c r="B30" s="38"/>
      <c r="C30" s="38"/>
      <c r="D30" s="38"/>
    </row>
    <row r="31" customFormat="false" ht="15" hidden="false" customHeight="true" outlineLevel="0" collapsed="false">
      <c r="A31" s="36" t="s">
        <v>165</v>
      </c>
      <c r="B31" s="36"/>
      <c r="C31" s="36"/>
      <c r="D31" s="36"/>
    </row>
    <row r="32" customFormat="false" ht="15" hidden="false" customHeight="true" outlineLevel="0" collapsed="false">
      <c r="A32" s="37" t="s">
        <v>166</v>
      </c>
      <c r="B32" s="37"/>
      <c r="C32" s="37"/>
      <c r="D32" s="37"/>
    </row>
    <row r="33" customFormat="false" ht="37.5" hidden="false" customHeight="true" outlineLevel="0" collapsed="false">
      <c r="A33" s="38" t="s">
        <v>167</v>
      </c>
      <c r="B33" s="38"/>
      <c r="C33" s="38"/>
      <c r="D33" s="38"/>
    </row>
    <row r="36" customFormat="false" ht="16.15" hidden="false" customHeight="false" outlineLevel="0" collapsed="false">
      <c r="A36" s="25" t="s">
        <v>168</v>
      </c>
      <c r="B36" s="25"/>
      <c r="C36" s="25"/>
      <c r="D36" s="25"/>
    </row>
    <row r="37" customFormat="false" ht="49.5" hidden="false" customHeight="true" outlineLevel="0" collapsed="false">
      <c r="A37" s="39" t="s">
        <v>169</v>
      </c>
      <c r="B37" s="39"/>
      <c r="C37" s="39"/>
      <c r="D37" s="39"/>
    </row>
  </sheetData>
  <mergeCells count="34">
    <mergeCell ref="A1:D1"/>
    <mergeCell ref="A2:D2"/>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6:D36"/>
    <mergeCell ref="A37:D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791F"/>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 collapsed="false" customWidth="true" hidden="false" outlineLevel="0" max="2" min="2" style="0" width="18"/>
    <col collapsed="false" customWidth="true" hidden="false" outlineLevel="0" max="3" min="3" style="0" width="36"/>
  </cols>
  <sheetData>
    <row r="1" customFormat="false" ht="27.75" hidden="false" customHeight="true" outlineLevel="0" collapsed="false">
      <c r="A1" s="1" t="s">
        <v>170</v>
      </c>
      <c r="B1" s="1"/>
      <c r="C1" s="1"/>
      <c r="D1" s="1"/>
    </row>
    <row r="2" customFormat="false" ht="30" hidden="false" customHeight="true" outlineLevel="0" collapsed="false">
      <c r="A2" s="2" t="s">
        <v>171</v>
      </c>
      <c r="B2" s="2"/>
      <c r="C2" s="2"/>
      <c r="D2" s="2"/>
    </row>
    <row r="4" customFormat="false" ht="15" hidden="false" customHeight="false" outlineLevel="0" collapsed="false">
      <c r="A4" s="3" t="s">
        <v>172</v>
      </c>
      <c r="B4" s="3" t="s">
        <v>173</v>
      </c>
      <c r="C4" s="3" t="s">
        <v>174</v>
      </c>
    </row>
    <row r="5" customFormat="false" ht="21.75" hidden="false" customHeight="true" outlineLevel="0" collapsed="false">
      <c r="A5" s="4" t="s">
        <v>175</v>
      </c>
      <c r="B5" s="4"/>
      <c r="C5" s="4"/>
    </row>
    <row r="6" customFormat="false" ht="21.75" hidden="false" customHeight="true" outlineLevel="0" collapsed="false">
      <c r="A6" s="40" t="s">
        <v>176</v>
      </c>
      <c r="B6" s="10"/>
      <c r="C6" s="41"/>
    </row>
    <row r="7" customFormat="false" ht="21.75" hidden="false" customHeight="true" outlineLevel="0" collapsed="false">
      <c r="A7" s="40" t="s">
        <v>177</v>
      </c>
      <c r="B7" s="10"/>
      <c r="C7" s="41"/>
    </row>
    <row r="8" customFormat="false" ht="21.75" hidden="false" customHeight="true" outlineLevel="0" collapsed="false">
      <c r="A8" s="40" t="s">
        <v>178</v>
      </c>
      <c r="B8" s="10"/>
      <c r="C8" s="41"/>
    </row>
    <row r="9" customFormat="false" ht="21.75" hidden="false" customHeight="true" outlineLevel="0" collapsed="false">
      <c r="A9" s="4" t="s">
        <v>179</v>
      </c>
      <c r="B9" s="4"/>
      <c r="C9" s="4"/>
    </row>
    <row r="10" customFormat="false" ht="21.75" hidden="false" customHeight="true" outlineLevel="0" collapsed="false">
      <c r="A10" s="40" t="s">
        <v>180</v>
      </c>
      <c r="B10" s="10"/>
      <c r="C10" s="41"/>
    </row>
    <row r="11" customFormat="false" ht="21.75" hidden="false" customHeight="true" outlineLevel="0" collapsed="false">
      <c r="A11" s="40" t="s">
        <v>181</v>
      </c>
      <c r="B11" s="10"/>
      <c r="C11" s="41"/>
    </row>
    <row r="12" customFormat="false" ht="21.75" hidden="false" customHeight="true" outlineLevel="0" collapsed="false">
      <c r="A12" s="40" t="s">
        <v>182</v>
      </c>
      <c r="B12" s="10"/>
      <c r="C12" s="41"/>
    </row>
    <row r="13" customFormat="false" ht="21.75" hidden="false" customHeight="true" outlineLevel="0" collapsed="false">
      <c r="A13" s="4" t="s">
        <v>183</v>
      </c>
      <c r="B13" s="4"/>
      <c r="C13" s="4"/>
    </row>
    <row r="14" customFormat="false" ht="21.75" hidden="false" customHeight="true" outlineLevel="0" collapsed="false">
      <c r="A14" s="40" t="s">
        <v>184</v>
      </c>
      <c r="B14" s="10"/>
      <c r="C14" s="41"/>
    </row>
    <row r="15" customFormat="false" ht="21.75" hidden="false" customHeight="true" outlineLevel="0" collapsed="false">
      <c r="A15" s="40" t="s">
        <v>185</v>
      </c>
      <c r="B15" s="10"/>
      <c r="C15" s="41"/>
    </row>
    <row r="16" customFormat="false" ht="21.75" hidden="false" customHeight="true" outlineLevel="0" collapsed="false">
      <c r="A16" s="40" t="s">
        <v>186</v>
      </c>
      <c r="B16" s="10"/>
      <c r="C16" s="41"/>
    </row>
    <row r="17" customFormat="false" ht="21.75" hidden="false" customHeight="true" outlineLevel="0" collapsed="false">
      <c r="A17" s="40" t="s">
        <v>187</v>
      </c>
      <c r="B17" s="10"/>
      <c r="C17" s="41"/>
    </row>
    <row r="18" customFormat="false" ht="21.75" hidden="false" customHeight="true" outlineLevel="0" collapsed="false">
      <c r="A18" s="4" t="s">
        <v>188</v>
      </c>
      <c r="B18" s="4"/>
      <c r="C18" s="4"/>
    </row>
    <row r="19" customFormat="false" ht="21.75" hidden="false" customHeight="true" outlineLevel="0" collapsed="false">
      <c r="A19" s="40" t="s">
        <v>189</v>
      </c>
      <c r="B19" s="10"/>
      <c r="C19" s="41"/>
    </row>
    <row r="20" customFormat="false" ht="21.75" hidden="false" customHeight="true" outlineLevel="0" collapsed="false">
      <c r="A20" s="40" t="s">
        <v>190</v>
      </c>
      <c r="B20" s="10"/>
      <c r="C20" s="41"/>
    </row>
    <row r="21" customFormat="false" ht="21.75" hidden="false" customHeight="true" outlineLevel="0" collapsed="false">
      <c r="A21" s="40" t="s">
        <v>191</v>
      </c>
      <c r="B21" s="10"/>
      <c r="C21" s="41"/>
    </row>
    <row r="22" customFormat="false" ht="21.75" hidden="false" customHeight="true" outlineLevel="0" collapsed="false">
      <c r="A22" s="4" t="s">
        <v>192</v>
      </c>
      <c r="B22" s="4"/>
      <c r="C22" s="4"/>
    </row>
    <row r="23" customFormat="false" ht="21.75" hidden="false" customHeight="true" outlineLevel="0" collapsed="false">
      <c r="A23" s="40" t="s">
        <v>193</v>
      </c>
      <c r="B23" s="10"/>
      <c r="C23" s="41"/>
    </row>
    <row r="24" customFormat="false" ht="21.75" hidden="false" customHeight="true" outlineLevel="0" collapsed="false">
      <c r="A24" s="40" t="s">
        <v>194</v>
      </c>
      <c r="B24" s="10"/>
      <c r="C24" s="41"/>
    </row>
    <row r="25" customFormat="false" ht="21.75" hidden="false" customHeight="true" outlineLevel="0" collapsed="false">
      <c r="A25" s="40" t="s">
        <v>195</v>
      </c>
      <c r="B25" s="10"/>
      <c r="C25" s="41"/>
    </row>
    <row r="27" customFormat="false" ht="16.15" hidden="false" customHeight="false" outlineLevel="0" collapsed="false">
      <c r="A27" s="25" t="s">
        <v>196</v>
      </c>
      <c r="B27" s="25"/>
      <c r="C27" s="25"/>
    </row>
    <row r="28" customFormat="false" ht="16.15" hidden="false" customHeight="false" outlineLevel="0" collapsed="false">
      <c r="A28" s="13" t="s">
        <v>197</v>
      </c>
      <c r="B28" s="42" t="n">
        <f aca="false">COUNTIF(B6:B25,"Sí")</f>
        <v>0</v>
      </c>
    </row>
    <row r="29" customFormat="false" ht="16.15" hidden="false" customHeight="false" outlineLevel="0" collapsed="false">
      <c r="A29" s="13" t="s">
        <v>198</v>
      </c>
      <c r="B29" s="43" t="n">
        <f aca="false">COUNTIF(B6:B25,"Parcial")</f>
        <v>0</v>
      </c>
    </row>
    <row r="30" customFormat="false" ht="16.15" hidden="false" customHeight="false" outlineLevel="0" collapsed="false">
      <c r="A30" s="13" t="s">
        <v>199</v>
      </c>
      <c r="B30" s="44" t="n">
        <f aca="false">COUNTIF(B6:B25,"No")</f>
        <v>0</v>
      </c>
    </row>
    <row r="31" customFormat="false" ht="16.15" hidden="false" customHeight="false" outlineLevel="0" collapsed="false">
      <c r="A31" s="45" t="s">
        <v>200</v>
      </c>
      <c r="B31" s="46" t="n">
        <f aca="false">COUNTIF(B6:B25,"No aplica")</f>
        <v>0</v>
      </c>
    </row>
    <row r="33" customFormat="false" ht="22.05" hidden="false" customHeight="false" outlineLevel="0" collapsed="false">
      <c r="A33" s="30" t="s">
        <v>201</v>
      </c>
      <c r="B33" s="47" t="n">
        <f aca="false">IFERROR((COUNTIF(B6:B25,"Sí")+COUNTIF(B6:B25,"Parcial")*0.5)/(COUNTIF(B6:B25,"Sí")+COUNTIF(B6:B25,"Parcial")+COUNTIF(B6:B25,"No")),0)</f>
        <v>0</v>
      </c>
    </row>
    <row r="35" customFormat="false" ht="49.5" hidden="false" customHeight="true" outlineLevel="0" collapsed="false">
      <c r="A35" s="48" t="s">
        <v>126</v>
      </c>
      <c r="B35" s="49" t="str">
        <f aca="false">IF((COUNTIF(B6:B25,"Sí")+COUNTIF(B6:B25,"Parcial")+COUNTIF(B6:B25,"No"))=0,"Completa primero el checklist",IF(B33&gt;=0.8,"LISTOS para arrancar IA en cualquier caso del catálogo",IF(B33&gt;=0.6,"LISTOS para Quick Wins; preparar habilitadores en paralelo para casos transformacionales",IF(B33&gt;=0.4,"INVERTIR en habilitadores en paralelo al primer caso de IA (recomendamos cubrir bloques A-B antes)","PRIORIDAD: cerrar habilitadores 6-9 meses antes de iniciar IA. Sin sensorización y datos digitales, los proyectos fracasarán."))))</f>
        <v>Completa primero el checklist</v>
      </c>
      <c r="C35" s="49"/>
    </row>
  </sheetData>
  <mergeCells count="9">
    <mergeCell ref="A1:D1"/>
    <mergeCell ref="A2:D2"/>
    <mergeCell ref="A5:C5"/>
    <mergeCell ref="A9:C9"/>
    <mergeCell ref="A13:C13"/>
    <mergeCell ref="A18:C18"/>
    <mergeCell ref="A22:C22"/>
    <mergeCell ref="A27:C27"/>
    <mergeCell ref="B35:C35"/>
  </mergeCells>
  <dataValidations count="1">
    <dataValidation allowBlank="true" errorStyle="stop" operator="between" showDropDown="false" showErrorMessage="false" showInputMessage="false" sqref="B6:B8 B10:B12 B14:B17 B19:B21 B23:B25" type="list">
      <formula1>"Sí,Parcial,No,No aplica"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2026-05-03T21:39:14Z</dcterms:created>
  <dc:creator>openpyxl</dc:creator>
  <dc:description/>
  <dc:language>en-US</dc:language>
  <cp:lastModifiedBy/>
  <dcterms:modified xsi:type="dcterms:W3CDTF">2026-05-03T21:39:14Z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