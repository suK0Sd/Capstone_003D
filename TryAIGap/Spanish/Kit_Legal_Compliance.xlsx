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liance Radar" sheetId="1" state="visible" r:id="rId3"/>
    <sheet name="Catálogo" sheetId="2" state="visible" r:id="rId4"/>
    <sheet name="Cuestionario" sheetId="3" state="visible" r:id="rId5"/>
    <sheet name="Canvas" sheetId="4" state="visible" r:id="rId6"/>
    <sheet name="Tabla Maestr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<sst xmlns="http://schemas.openxmlformats.org/spreadsheetml/2006/main" count="551" uniqueCount="423">
  <si>
    <t xml:space="preserve">Compliance Radar · IA bajo regulación</t>
  </si>
  <si>
    <t xml:space="preserve">Selecciona la jurisdicción de tu cliente y el kit muestra automáticamente las normas aplicables, obligaciones, sanciones y estándares recomendados.</t>
  </si>
  <si>
    <t xml:space="preserve">JURISDICCIÓN:</t>
  </si>
  <si>
    <t xml:space="preserve">México</t>
  </si>
  <si>
    <t xml:space="preserve">Región:</t>
  </si>
  <si>
    <t xml:space="preserve">Autoridad de protección de datos:</t>
  </si>
  <si>
    <t xml:space="preserve">1. MARCO LEGAL APLICABLE</t>
  </si>
  <si>
    <t xml:space="preserve">Norma principal de protección de datos:</t>
  </si>
  <si>
    <t xml:space="preserve">Año de vigencia:</t>
  </si>
  <si>
    <t xml:space="preserve">EU AI Act extraterritorial:</t>
  </si>
  <si>
    <t xml:space="preserve">Marco específico de IA (local):</t>
  </si>
  <si>
    <t xml:space="preserve">2. OBLIGACIONES CLAVE PARA HACER IA</t>
  </si>
  <si>
    <t xml:space="preserve">DPIA / PIA (Evaluación de impacto):</t>
  </si>
  <si>
    <t xml:space="preserve">Consentimiento explícito:</t>
  </si>
  <si>
    <t xml:space="preserve">Derecho a explicación de decisiones automatizadas:</t>
  </si>
  <si>
    <t xml:space="preserve">Notificación de brechas:</t>
  </si>
  <si>
    <t xml:space="preserve">DPO obligatorio:</t>
  </si>
  <si>
    <t xml:space="preserve">Transferencias internacionales:</t>
  </si>
  <si>
    <t xml:space="preserve">3. SANCIONES MÁXIMAS</t>
  </si>
  <si>
    <t xml:space="preserve">Sanción máxima:</t>
  </si>
  <si>
    <t xml:space="preserve">4. ESTÁNDARES Y MARCOS RECOMENDADOS</t>
  </si>
  <si>
    <t xml:space="preserve">Estándar / Marco</t>
  </si>
  <si>
    <t xml:space="preserve">Aplicabilidad</t>
  </si>
  <si>
    <t xml:space="preserve">Foco</t>
  </si>
  <si>
    <t xml:space="preserve">ISO/IEC 27001 — Information Security</t>
  </si>
  <si>
    <t xml:space="preserve">Seguridad de la información, base de cualquier programa serio.</t>
  </si>
  <si>
    <t xml:space="preserve">ISO/IEC 27701 — Privacy Information Management</t>
  </si>
  <si>
    <t xml:space="preserve">Extensión de 27001 con controles de privacidad. Crítica con datos personales.</t>
  </si>
  <si>
    <t xml:space="preserve">ISO/IEC 42001 — AI Management System</t>
  </si>
  <si>
    <t xml:space="preserve">Sistema de gestión de IA, certificable. Estándar emergente clave.</t>
  </si>
  <si>
    <t xml:space="preserve">ISO/IEC 23894 — AI Risk Management</t>
  </si>
  <si>
    <t xml:space="preserve">Marco operativo de gestión de riesgos en IA.</t>
  </si>
  <si>
    <t xml:space="preserve">NIST AI Risk Management Framework</t>
  </si>
  <si>
    <t xml:space="preserve">Marco voluntario de EE.UU. — referencia internacional ampliamente adoptada.</t>
  </si>
  <si>
    <t xml:space="preserve">NIST Cybersecurity Framework (CSF)</t>
  </si>
  <si>
    <t xml:space="preserve">Marco de ciberseguridad — estándar de hecho en EE.UU.</t>
  </si>
  <si>
    <t xml:space="preserve">5. SECTORIALES Y NOTAS PARTICULARES</t>
  </si>
  <si>
    <t xml:space="preserve">Reguladores sectoriales típicos:</t>
  </si>
  <si>
    <t xml:space="preserve">Notas particulares:</t>
  </si>
  <si>
    <t xml:space="preserve">6. CHECKLIST OPERATIVO DE COMPLIANCE PARA TU INICIATIVA DE IA</t>
  </si>
  <si>
    <t xml:space="preserve">Marca el estado actual de cada control. Sistemas de alto riesgo bajo EU AI Act y muchas normas locales requieren la mayoría de estos controles.</t>
  </si>
  <si>
    <t xml:space="preserve">Control</t>
  </si>
  <si>
    <t xml:space="preserve">Estado</t>
  </si>
  <si>
    <t xml:space="preserve">Comentarios</t>
  </si>
  <si>
    <t xml:space="preserve">Inventario actualizado de sistemas de IA en uso o desarrollo</t>
  </si>
  <si>
    <t xml:space="preserve">DPIA / PIA realizada para cada sistema con datos personales</t>
  </si>
  <si>
    <t xml:space="preserve">Bases legales de tratamiento documentadas</t>
  </si>
  <si>
    <t xml:space="preserve">Política de uso aceptable de IA aprobada y comunicada</t>
  </si>
  <si>
    <t xml:space="preserve">Model cards o documentación técnica por sistema</t>
  </si>
  <si>
    <t xml:space="preserve">Mecanismos de derecho a explicación implementados</t>
  </si>
  <si>
    <t xml:space="preserve">Procedimiento de notificación de brechas documentado</t>
  </si>
  <si>
    <t xml:space="preserve">DPO o responsable de privacidad designado</t>
  </si>
  <si>
    <t xml:space="preserve">Cláusulas contractuales con proveedores de IA (encargados de tratamiento)</t>
  </si>
  <si>
    <t xml:space="preserve">Registro de actividades de tratamiento (ROPA) actualizado</t>
  </si>
  <si>
    <t xml:space="preserve">Procedimiento de auditoría y monitoreo de modelos en producción</t>
  </si>
  <si>
    <t xml:space="preserve">Plan de capacitación en compliance de IA para el personal clave</t>
  </si>
  <si>
    <t xml:space="preserve">Sistema de gestión de riesgos de IA (referencia ISO 23894 / NIST AI RMF)</t>
  </si>
  <si>
    <t xml:space="preserve">Mecanismo de override humano en decisiones automatizadas críticas</t>
  </si>
  <si>
    <t xml:space="preserve">Auditoría de fairness / sesgos en sistemas que deciden sobre personas</t>
  </si>
  <si>
    <t xml:space="preserve">RESUMEN DEL CHECKLIST</t>
  </si>
  <si>
    <t xml:space="preserve">Implementados:</t>
  </si>
  <si>
    <t xml:space="preserve">Parciales:</t>
  </si>
  <si>
    <t xml:space="preserve">Pendientes:</t>
  </si>
  <si>
    <t xml:space="preserve">No aplican:</t>
  </si>
  <si>
    <t xml:space="preserve">% de avance (sobre aplicables):</t>
  </si>
  <si>
    <t xml:space="preserve">Catálogo de casos de uso · IA en Legal y Compliance</t>
  </si>
  <si>
    <t xml:space="preserve">Casos de uso de IA aplicables al área legal y compliance. Marca en la última columna los que aplican a tu organización.</t>
  </si>
  <si>
    <t xml:space="preserve">#</t>
  </si>
  <si>
    <t xml:space="preserve">Caso de uso</t>
  </si>
  <si>
    <t xml:space="preserve">Descripción</t>
  </si>
  <si>
    <t xml:space="preserve">Familia de IA</t>
  </si>
  <si>
    <t xml:space="preserve">KPI típico</t>
  </si>
  <si>
    <t xml:space="preserve">Datos requeridos</t>
  </si>
  <si>
    <t xml:space="preserve">Esfuerzo</t>
  </si>
  <si>
    <t xml:space="preserve">Madurez (1-5)</t>
  </si>
  <si>
    <t xml:space="preserve">Compliance / riesgo</t>
  </si>
  <si>
    <t xml:space="preserve">¿Aplica a nosotros?</t>
  </si>
  <si>
    <t xml:space="preserve">Notas</t>
  </si>
  <si>
    <t xml:space="preserve">Revisión automática de contratos</t>
  </si>
  <si>
    <t xml:space="preserve">Identifica cláusulas de riesgo, desviaciones del estándar, términos faltantes en contratos entrantes.</t>
  </si>
  <si>
    <t xml:space="preserve">GenAI</t>
  </si>
  <si>
    <t xml:space="preserve">Tiempo de revisión, cobertura de revisión, riesgos detectados</t>
  </si>
  <si>
    <t xml:space="preserve">Plantillas maestras, histórico de contratos firmados, criterios de riesgo</t>
  </si>
  <si>
    <t xml:space="preserve">Mediano</t>
  </si>
  <si>
    <t xml:space="preserve">Confidencialidad; trazabilidad de versiones; revisión humana obligatoria.</t>
  </si>
  <si>
    <t xml:space="preserve">Generación de borradores de contratos estándar</t>
  </si>
  <si>
    <t xml:space="preserve">Auto-genera NDAs, MSAs, SOWs, DPAs a partir de plantillas y parámetros del caso.</t>
  </si>
  <si>
    <t xml:space="preserve">Tiempo a primer borrador, consistencia, productividad legal</t>
  </si>
  <si>
    <t xml:space="preserve">Plantillas maestras, parámetros del caso, datos de la contraparte</t>
  </si>
  <si>
    <t xml:space="preserve">Quick Win</t>
  </si>
  <si>
    <t xml:space="preserve">Aprobación humana antes de envío; control de versiones.</t>
  </si>
  <si>
    <t xml:space="preserve">Comparación y redlining de contratos</t>
  </si>
  <si>
    <t xml:space="preserve">Compara propuesta de la contraparte con plantilla maestra y sugiere cambios.</t>
  </si>
  <si>
    <t xml:space="preserve">Tiempo de redlining, riesgos identificados, calidad de cambios</t>
  </si>
  <si>
    <t xml:space="preserve">Plantilla maestra, contrato de la contraparte</t>
  </si>
  <si>
    <t xml:space="preserve">Decisión final del abogado; trazabilidad de comentarios.</t>
  </si>
  <si>
    <t xml:space="preserve">DPIA / PIA asistida</t>
  </si>
  <si>
    <t xml:space="preserve">Auto-genera borrador de evaluación de impacto en privacidad para iniciativas con datos personales.</t>
  </si>
  <si>
    <t xml:space="preserve">Tiempo de elaboración de DPIA, completitud, trazabilidad</t>
  </si>
  <si>
    <t xml:space="preserve">Descripción del proyecto, datos involucrados, plantilla DPIA</t>
  </si>
  <si>
    <t xml:space="preserve">Validación de DPO; revisión humana obligatoria; trazabilidad regulatoria.</t>
  </si>
  <si>
    <t xml:space="preserve">Regulatory change tracking</t>
  </si>
  <si>
    <t xml:space="preserve">Monitorea publicaciones oficiales y alerta sobre cambios normativos relevantes para el cliente.</t>
  </si>
  <si>
    <t xml:space="preserve">ML / GenAI</t>
  </si>
  <si>
    <t xml:space="preserve">Cobertura regulatoria, tiempo de detección, falsos positivos</t>
  </si>
  <si>
    <t xml:space="preserve">Fuentes regulatorias oficiales, taxonomía de relevancia para el negocio</t>
  </si>
  <si>
    <t xml:space="preserve">Validación humana antes de actuar; explicabilidad de la relevancia asignada.</t>
  </si>
  <si>
    <t xml:space="preserve">Auto-generación de policies y procedimientos</t>
  </si>
  <si>
    <t xml:space="preserve">Genera políticas internas (uso aceptable de IA, privacidad, seguridad) a partir de marcos regulatorios.</t>
  </si>
  <si>
    <t xml:space="preserve">Tiempo de elaboración, alineación con marcos, mantenimiento</t>
  </si>
  <si>
    <t xml:space="preserve">Marcos regulatorios, políticas existentes, contexto del negocio</t>
  </si>
  <si>
    <t xml:space="preserve">Aprobación humana; vigencia y actualización; trazabilidad de cambios.</t>
  </si>
  <si>
    <t xml:space="preserve">Asistente conversacional de compliance</t>
  </si>
  <si>
    <t xml:space="preserve">Responde preguntas internas sobre normativa, políticas internas y procedimientos, con citas a la fuente.</t>
  </si>
  <si>
    <t xml:space="preserve">GenAI / RAG</t>
  </si>
  <si>
    <t xml:space="preserve">Tiempo de respuesta, autosuficiencia del personal, FCR</t>
  </si>
  <si>
    <t xml:space="preserve">Corpus de políticas, regulación interna, jurisprudencia interna</t>
  </si>
  <si>
    <t xml:space="preserve">Riesgo de alucinación; obligación de citar fuente; escalamiento a abogado humano.</t>
  </si>
  <si>
    <t xml:space="preserve">E-discovery con clasificación automática</t>
  </si>
  <si>
    <t xml:space="preserve">Encuentra y clasifica documentos relevantes en litigios o investigaciones internas.</t>
  </si>
  <si>
    <t xml:space="preserve">Tiempo de e-discovery, precisión de clasificación, costo</t>
  </si>
  <si>
    <t xml:space="preserve">Corpus documental empresarial, taxonomía de litigio</t>
  </si>
  <si>
    <t xml:space="preserve">Privacy; privilegio abogado-cliente; trazabilidad.</t>
  </si>
  <si>
    <t xml:space="preserve">Detección de fraude y AML / CFT</t>
  </si>
  <si>
    <t xml:space="preserve">Detecta patrones sospechosos en transacciones para prevención de lavado y financiamiento del terrorismo.</t>
  </si>
  <si>
    <t xml:space="preserve">ML clásico</t>
  </si>
  <si>
    <t xml:space="preserve">Casos detectados, tasa de falsos positivos, ahorro en multas</t>
  </si>
  <si>
    <t xml:space="preserve">Histórico transaccional, datos del cliente, listas de sanciones</t>
  </si>
  <si>
    <t xml:space="preserve">Sesgo; fairness; explicabilidad obligatoria; SBS/UIF requerimientos.</t>
  </si>
  <si>
    <t xml:space="preserve">Compliance monitoring de comunicaciones</t>
  </si>
  <si>
    <t xml:space="preserve">Detecta riesgos en emails, chats internos y llamadas (información sensible, conducta inapropiada, conflictos).</t>
  </si>
  <si>
    <t xml:space="preserve">Casos detectados, tiempo de detección, precisión</t>
  </si>
  <si>
    <t xml:space="preserve">Corpus de comunicaciones internas (con consentimiento)</t>
  </si>
  <si>
    <t xml:space="preserve">Privacidad de empleados; derechos laborales; transparencia con el equipo; consultar regulación local.</t>
  </si>
  <si>
    <t xml:space="preserve">Risk register dinámico</t>
  </si>
  <si>
    <t xml:space="preserve">Mantiene actualizado el registro de riesgos a partir de fuentes internas y externas.</t>
  </si>
  <si>
    <t xml:space="preserve">Cobertura de riesgos, oportunidad de actualización, calidad</t>
  </si>
  <si>
    <t xml:space="preserve">Datos internos, alertas externas, taxonomía de riesgos</t>
  </si>
  <si>
    <t xml:space="preserve">Validación humana de severidad; trazabilidad de cambios.</t>
  </si>
  <si>
    <t xml:space="preserve">Whistleblower con detección de anomalías</t>
  </si>
  <si>
    <t xml:space="preserve">Prioriza reportes recibidos y detecta patrones de mala conducta a través del tiempo.</t>
  </si>
  <si>
    <t xml:space="preserve">Tiempo de respuesta a reportes, casos confirmados, completitud</t>
  </si>
  <si>
    <t xml:space="preserve">Reportes históricos, taxonomía de casos</t>
  </si>
  <si>
    <t xml:space="preserve">Anonimato del denunciante; sesgo; obligación de seguimiento.</t>
  </si>
  <si>
    <t xml:space="preserve">Model cards y documentación regulatoria auto-mantenida</t>
  </si>
  <si>
    <t xml:space="preserve">Mantiene actualizada la documentación técnica y regulatoria de los sistemas de IA en producción.</t>
  </si>
  <si>
    <t xml:space="preserve">Cobertura documental, oportunidad, calidad</t>
  </si>
  <si>
    <t xml:space="preserve">Metadata de modelos, históricos de entrenamiento, métricas de operación</t>
  </si>
  <si>
    <t xml:space="preserve">Trazabilidad; auditoría regulatoria; alineación con ISO 42001.</t>
  </si>
  <si>
    <t xml:space="preserve">RESUMEN DE SELECCIONES</t>
  </si>
  <si>
    <t xml:space="preserve">Casos marcados "Sí":</t>
  </si>
  <si>
    <t xml:space="preserve">Casos marcados "Tal vez":</t>
  </si>
  <si>
    <t xml:space="preserve">Total candidatos (Sí + Tal vez):</t>
  </si>
  <si>
    <t xml:space="preserve">Cuestionario de autoevaluación · Legal y Compliance</t>
  </si>
  <si>
    <t xml:space="preserve">Responde cada pregunta con un puntaje de 1 a 5. La hoja calcula tu puntaje de pain y readiness, y emite recomendación según la matriz 2×2.</t>
  </si>
  <si>
    <t xml:space="preserve">Escala:</t>
  </si>
  <si>
    <t xml:space="preserve">1 = no existe / muy bajo  ·  2 = bajo  ·  3 = medio  ·  4 = alto  ·  5 = sistemático / muy alto</t>
  </si>
  <si>
    <t xml:space="preserve">Pregunta</t>
  </si>
  <si>
    <t xml:space="preserve">Puntaje (1-5)</t>
  </si>
  <si>
    <t xml:space="preserve">BLOQUE A — Pain operativo</t>
  </si>
  <si>
    <t xml:space="preserve">A1</t>
  </si>
  <si>
    <t xml:space="preserve">El volumen de contratos / documentos legales que el equipo revisa manualmente cada mes es:</t>
  </si>
  <si>
    <t xml:space="preserve">A2</t>
  </si>
  <si>
    <t xml:space="preserve">El tiempo que invertimos en compliance manual y documentación regulatoria es:</t>
  </si>
  <si>
    <t xml:space="preserve">A3</t>
  </si>
  <si>
    <t xml:space="preserve">La presión regulatoria actual (auditorías, fiscalizaciones, sanciones recientes) sobre nuestro sector es:</t>
  </si>
  <si>
    <t xml:space="preserve">A4</t>
  </si>
  <si>
    <t xml:space="preserve">Nuestra tasa de errores u omisiones en documentación legal / compliance es:</t>
  </si>
  <si>
    <t xml:space="preserve">BLOQUE B — Readiness de datos</t>
  </si>
  <si>
    <t xml:space="preserve">B1</t>
  </si>
  <si>
    <t xml:space="preserve">Tenemos repositorio digital actualizado de contratos, políticas y documentación legal:</t>
  </si>
  <si>
    <t xml:space="preserve">B2</t>
  </si>
  <si>
    <t xml:space="preserve">La taxonomía/clasificación de documentos legales está definida y se aplica:</t>
  </si>
  <si>
    <t xml:space="preserve">B3</t>
  </si>
  <si>
    <t xml:space="preserve">Existe un sistema de gestión documental (DMS) con búsqueda y trazabilidad:</t>
  </si>
  <si>
    <t xml:space="preserve">B4</t>
  </si>
  <si>
    <t xml:space="preserve">Los datos están integrados con sistemas de negocio (CRM, ERP, ticketing):</t>
  </si>
  <si>
    <t xml:space="preserve">BLOQUE C — Readiness del equipo</t>
  </si>
  <si>
    <t xml:space="preserve">C1</t>
  </si>
  <si>
    <t xml:space="preserve">El General Counsel / liderazgo legal está abierto a incorporar IA y patrocina:</t>
  </si>
  <si>
    <t xml:space="preserve">C2</t>
  </si>
  <si>
    <t xml:space="preserve">Hay perfiles legaltech o aliados naturales en el equipo:</t>
  </si>
  <si>
    <t xml:space="preserve">C3</t>
  </si>
  <si>
    <t xml:space="preserve">La cultura tolera experimentos donde la IA puede equivocarse al inicio:</t>
  </si>
  <si>
    <t xml:space="preserve">C4</t>
  </si>
  <si>
    <t xml:space="preserve">El equipo ha pasado por proyectos de transformación previos con éxito razonable:</t>
  </si>
  <si>
    <t xml:space="preserve">BLOQUE D — Alineación estratégica</t>
  </si>
  <si>
    <t xml:space="preserve">D1</t>
  </si>
  <si>
    <t xml:space="preserve">Tenemos metas explícitas de eficiencia legal, reducción de riesgo o velocidad de revisión:</t>
  </si>
  <si>
    <t xml:space="preserve">D2</t>
  </si>
  <si>
    <t xml:space="preserve">Hay presupuesto razonable para invertir en legaltech / IA en los próximos 12 meses:</t>
  </si>
  <si>
    <t xml:space="preserve">D3</t>
  </si>
  <si>
    <t xml:space="preserve">La regulación aplicable nos permite usar IA en revisión y procedimientos legales:</t>
  </si>
  <si>
    <t xml:space="preserve">D4</t>
  </si>
  <si>
    <t xml:space="preserve">Existe un caso de negocio claro de impacto en costos, riesgos o tiempo:</t>
  </si>
  <si>
    <t xml:space="preserve">RESULTADOS</t>
  </si>
  <si>
    <t xml:space="preserve">Pain score (Bloque A):</t>
  </si>
  <si>
    <t xml:space="preserve">Readiness score (Bloques B + C + D):</t>
  </si>
  <si>
    <t xml:space="preserve">RECOMENDACIÓN:</t>
  </si>
  <si>
    <t xml:space="preserve">Matriz 2×2 — Pain × Readiness</t>
  </si>
  <si>
    <t xml:space="preserve">Readiness BAJA (&lt; 3.5)</t>
  </si>
  <si>
    <t xml:space="preserve">Readiness ALTA (≥ 3.5)</t>
  </si>
  <si>
    <t xml:space="preserve">Pain ALTO (≥ 3.5)</t>
  </si>
  <si>
    <t xml:space="preserve">Invertir en habilitadores primero</t>
  </si>
  <si>
    <t xml:space="preserve">QUICK WIN PRIORITARIO</t>
  </si>
  <si>
    <t xml:space="preserve">Pain BAJO (&lt; 3.5)</t>
  </si>
  <si>
    <t xml:space="preserve">Aún no es momento</t>
  </si>
  <si>
    <t xml:space="preserve">Oportunidad sin urgencia</t>
  </si>
  <si>
    <t xml:space="preserve">Canvas de oportunidad · Legal y Compliance</t>
  </si>
  <si>
    <t xml:space="preserve">Documenta una oportunidad concreta en una página. Reemplaza el texto en cursiva con tu información. Salida lista para alimentar la plantilla del Módulo 2.</t>
  </si>
  <si>
    <t xml:space="preserve">1.  Nombre del caso</t>
  </si>
  <si>
    <t xml:space="preserve">   Prompt: ≤ 8 palabras</t>
  </si>
  <si>
    <t xml:space="preserve">Ej. Asistente conversacional de compliance interno</t>
  </si>
  <si>
    <t xml:space="preserve">2.  Pain point concreto</t>
  </si>
  <si>
    <t xml:space="preserve">   Prompt: Hoy nuestro equipo legal/compliance sufre X cuando Y</t>
  </si>
  <si>
    <t xml:space="preserve">Ej. Hoy nuestro equipo recibe ~120 consultas internas mensuales sobre normativa y políticas, lo que consume 60 horas mensuales del team senior.</t>
  </si>
  <si>
    <t xml:space="preserve">3.  Frecuencia y volumen</t>
  </si>
  <si>
    <t xml:space="preserve">   Prompt: ¿Cuántas veces ocurre por mes y a quién afecta?</t>
  </si>
  <si>
    <t xml:space="preserve">Ej. ~120 consultas/mes, 4 abogados senior afectados, 250+ usuarios internos consultantes.</t>
  </si>
  <si>
    <t xml:space="preserve">4.  Costo estimado del dolor</t>
  </si>
  <si>
    <t xml:space="preserve">   Prompt: USD/mes o tiempo equivalente; o riesgo evitado</t>
  </si>
  <si>
    <t xml:space="preserve">Ej. 60 horas senior × USD 80 = USD 4.800/mes en costo directo; riesgo de respuestas inconsistentes.</t>
  </si>
  <si>
    <t xml:space="preserve">5.  KPI primario a mover</t>
  </si>
  <si>
    <t xml:space="preserve">   Prompt: Indicador concreto y dirección</t>
  </si>
  <si>
    <t xml:space="preserve">Ej. Tiempo de respuesta de consulta interna (de 48h a 4h); volumen escalado al equipo (-50%).</t>
  </si>
  <si>
    <t xml:space="preserve">6.  Magnitud esperada del cambio</t>
  </si>
  <si>
    <t xml:space="preserve">   Prompt: De X a Y, en qué horizonte</t>
  </si>
  <si>
    <t xml:space="preserve">Ej. Liberar 40 horas/mes del equipo senior en 6 meses; cobertura de FAQ del 80% en 9 meses.</t>
  </si>
  <si>
    <t xml:space="preserve">7.  Datos disponibles</t>
  </si>
  <si>
    <t xml:space="preserve">   Prompt: Fuentes, volumen, calidad, brechas</t>
  </si>
  <si>
    <t xml:space="preserve">Ej. Repositorio de políticas en SharePoint (450 docs, calidad media), histórico de consultas en correo (1 año), regulación externa via boletín oficial.</t>
  </si>
  <si>
    <t xml:space="preserve">8.  Familia de IA hipotética</t>
  </si>
  <si>
    <t xml:space="preserve">   Prompt: Reglas / ML clásico / GenAI / Híbrida (Módulo 4)</t>
  </si>
  <si>
    <t xml:space="preserve">Ej. GenAI con RAG sobre repositorio interno de políticas + base regulatoria externa.</t>
  </si>
  <si>
    <t xml:space="preserve">9.  Riesgos visibles + jurisdicción</t>
  </si>
  <si>
    <t xml:space="preserve">   Prompt: Compliance específico al país; ver Compliance Radar</t>
  </si>
  <si>
    <t xml:space="preserve">Ej. Riesgo de alucinación crítico en respuestas legales; obligación de citar fuente; jurisdicción Chile (Ley 19.628 + 21.719).</t>
  </si>
  <si>
    <t xml:space="preserve">10.  Sponsor del caso</t>
  </si>
  <si>
    <t xml:space="preserve">   Prompt: Nombre y rol del patrocinador ejecutivo</t>
  </si>
  <si>
    <t xml:space="preserve">Ej. General Counsel, Roberto Silva.</t>
  </si>
  <si>
    <t xml:space="preserve">SALIDA — Resumen del caso para Módulo 2 / 3</t>
  </si>
  <si>
    <t xml:space="preserve">Cuando completes los 10 campos, copia el contenido en la plantilla de oportunidad del Módulo 2. El campo 9 (riesgos + jurisdicción) debe alinearse con la salida del Compliance Radar para tu jurisdicción.</t>
  </si>
  <si>
    <t xml:space="preserve">Tabla Maestra de Jurisdicciones · Datos de referencia</t>
  </si>
  <si>
    <t xml:space="preserve">Datos consolidados a Q4 2025. Actualizar conforme cambien las regulaciones. La hoja Compliance Radar consume estos datos vía VLOOKUP.</t>
  </si>
  <si>
    <t xml:space="preserve">Jurisdicción</t>
  </si>
  <si>
    <t xml:space="preserve">Región</t>
  </si>
  <si>
    <t xml:space="preserve">Norma principal</t>
  </si>
  <si>
    <t xml:space="preserve">Año vigencia</t>
  </si>
  <si>
    <t xml:space="preserve">Autoridad</t>
  </si>
  <si>
    <t xml:space="preserve">DPIA / PIA exigible</t>
  </si>
  <si>
    <t xml:space="preserve">Consentimiento explícito</t>
  </si>
  <si>
    <t xml:space="preserve">Derecho a explicación</t>
  </si>
  <si>
    <t xml:space="preserve">Notificación de brechas</t>
  </si>
  <si>
    <t xml:space="preserve">DPO obligatorio</t>
  </si>
  <si>
    <t xml:space="preserve">Transferencias internacionales</t>
  </si>
  <si>
    <t xml:space="preserve">Sanción máxima</t>
  </si>
  <si>
    <t xml:space="preserve">EU AI Act extraterritorial</t>
  </si>
  <si>
    <t xml:space="preserve">ISO 27001</t>
  </si>
  <si>
    <t xml:space="preserve">ISO 27701</t>
  </si>
  <si>
    <t xml:space="preserve">ISO 42001</t>
  </si>
  <si>
    <t xml:space="preserve">ISO 23894</t>
  </si>
  <si>
    <t xml:space="preserve">NIST AI RMF</t>
  </si>
  <si>
    <t xml:space="preserve">NIST CSF</t>
  </si>
  <si>
    <t xml:space="preserve">Marco IA local</t>
  </si>
  <si>
    <t xml:space="preserve">Sectoriales típicas</t>
  </si>
  <si>
    <t xml:space="preserve">Notas particulares</t>
  </si>
  <si>
    <t xml:space="preserve">Latam</t>
  </si>
  <si>
    <t xml:space="preserve">LFPDPPP</t>
  </si>
  <si>
    <t xml:space="preserve">2010 (reforma 2024 en curso)</t>
  </si>
  <si>
    <t xml:space="preserve">INAI</t>
  </si>
  <si>
    <t xml:space="preserve">Recomendada (no exigida explícitamente)</t>
  </si>
  <si>
    <t xml:space="preserve">Sí, en la mayoría de casos</t>
  </si>
  <si>
    <t xml:space="preserve">Parcial</t>
  </si>
  <si>
    <t xml:space="preserve">Inmediata (sin plazo legal específico)</t>
  </si>
  <si>
    <t xml:space="preserve">No general; sí grandes volúmenes</t>
  </si>
  <si>
    <t xml:space="preserve">Permitidas con consentimiento o cláusulas</t>
  </si>
  <si>
    <t xml:space="preserve">Hasta 320,000 días de salario mínimo (~USD 100K-110K)</t>
  </si>
  <si>
    <t xml:space="preserve">Sí, si trata datos UE o vende a UE</t>
  </si>
  <si>
    <t xml:space="preserve">Muy recomendado</t>
  </si>
  <si>
    <t xml:space="preserve">Recomendado</t>
  </si>
  <si>
    <t xml:space="preserve">Referencia</t>
  </si>
  <si>
    <t xml:space="preserve">En discusión legislativa</t>
  </si>
  <si>
    <t xml:space="preserve">CONDUSEF (finanzas), COFEPRIS (salud), CNBV</t>
  </si>
  <si>
    <t xml:space="preserve">Reforma 2024 acerca a México a estándares internacionales. Mayor enfoque en transferencias y derechos del titular.</t>
  </si>
  <si>
    <t xml:space="preserve">Brasil</t>
  </si>
  <si>
    <t xml:space="preserve">LGPD (Lei nº 13.709/2018)</t>
  </si>
  <si>
    <t xml:space="preserve">2018 (sanciones desde 2021)</t>
  </si>
  <si>
    <t xml:space="preserve">ANPD</t>
  </si>
  <si>
    <t xml:space="preserve">Sí, RIPD para alto riesgo</t>
  </si>
  <si>
    <t xml:space="preserve">Sí (con bases legales alternativas)</t>
  </si>
  <si>
    <t xml:space="preserve">Sí (Art. 20 - decisiones automatizadas)</t>
  </si>
  <si>
    <t xml:space="preserve">En plazo razonable a la ANPD</t>
  </si>
  <si>
    <t xml:space="preserve">Sí, encargado obligatorio</t>
  </si>
  <si>
    <t xml:space="preserve">Permitidas con cláusulas estándar</t>
  </si>
  <si>
    <t xml:space="preserve">2% facturación Brasil año anterior, máximo R$ 50M (~USD 10M) por infracción</t>
  </si>
  <si>
    <t xml:space="preserve">Sí</t>
  </si>
  <si>
    <t xml:space="preserve">PL 21/2020 sobre IA en discusión</t>
  </si>
  <si>
    <t xml:space="preserve">BACEN (finanzas), ANS (salud), ANATEL (telecom)</t>
  </si>
  <si>
    <t xml:space="preserve">ANPD muy activa en sanciones desde 2023. Reglamento de IA en avance legislativo.</t>
  </si>
  <si>
    <t xml:space="preserve">Argentina</t>
  </si>
  <si>
    <t xml:space="preserve">Ley 25.326 + Disp. 11/2006</t>
  </si>
  <si>
    <t xml:space="preserve">2000 (reforma en curso)</t>
  </si>
  <si>
    <t xml:space="preserve">AAIP</t>
  </si>
  <si>
    <t xml:space="preserve">Recomendada (DIPI - Documento de Impacto en la Privacidad)</t>
  </si>
  <si>
    <t xml:space="preserve">No obligatorio (en proyecto de reforma)</t>
  </si>
  <si>
    <t xml:space="preserve">No obligatorio</t>
  </si>
  <si>
    <t xml:space="preserve">Restringidas; lista de países adecuados</t>
  </si>
  <si>
    <t xml:space="preserve">Hasta $100,000 ARS por infracción (reforma propone aumentar significativamente)</t>
  </si>
  <si>
    <t xml:space="preserve">Muy recomendado (BCRA Com. A 7724 lo exige a financieras)</t>
  </si>
  <si>
    <t xml:space="preserve">Disposición sobre IA en discusión</t>
  </si>
  <si>
    <t xml:space="preserve">BCRA (financieras), CNV (mercado de valores), SSN (seguros)</t>
  </si>
  <si>
    <t xml:space="preserve">Reforma de la Ley de Datos Personales en discusión legislativa. BCRA muy activa en ciberseguridad.</t>
  </si>
  <si>
    <t xml:space="preserve">Chile</t>
  </si>
  <si>
    <t xml:space="preserve">Ley 19.628 + Ley 21.719 (2024)</t>
  </si>
  <si>
    <t xml:space="preserve">1999 (modernizada 2024)</t>
  </si>
  <si>
    <t xml:space="preserve">Agencia de Protección de Datos Personales (en creación)</t>
  </si>
  <si>
    <t xml:space="preserve">Sí, para alto riesgo (post-21.719)</t>
  </si>
  <si>
    <t xml:space="preserve">Sí (post-21.719)</t>
  </si>
  <si>
    <t xml:space="preserve">Sí, 72 horas</t>
  </si>
  <si>
    <t xml:space="preserve">Obligatorio en algunos casos</t>
  </si>
  <si>
    <t xml:space="preserve">Permitidas con cláusulas</t>
  </si>
  <si>
    <t xml:space="preserve">Hasta 5,000 UTM (~USD 350K)</t>
  </si>
  <si>
    <t xml:space="preserve">Muy recomendado (CMF lo exige a financieras)</t>
  </si>
  <si>
    <t xml:space="preserve">Política Nacional de IA (2021); Proyecto de Ley de IA (2024)</t>
  </si>
  <si>
    <t xml:space="preserve">CMF (financieras), Superintendencia de Salud, SUBTEL</t>
  </si>
  <si>
    <t xml:space="preserve">Ley 21.719 incrementa significativamente las exigencias y crea la Agencia de Protección de Datos. Vigencia escalonada 2024-2026.</t>
  </si>
  <si>
    <t xml:space="preserve">Colombia</t>
  </si>
  <si>
    <t xml:space="preserve">Ley 1581 + Decreto 1377 + Circular 002/2015</t>
  </si>
  <si>
    <t xml:space="preserve">2012</t>
  </si>
  <si>
    <t xml:space="preserve">SIC (Superintendencia de Industria y Comercio)</t>
  </si>
  <si>
    <t xml:space="preserve">Sí, PIA (Procedimiento de Impacto en la Privacidad)</t>
  </si>
  <si>
    <t xml:space="preserve">En plazo razonable a la SIC</t>
  </si>
  <si>
    <t xml:space="preserve">Hasta 2,000 SMMLV (~USD 670K)</t>
  </si>
  <si>
    <t xml:space="preserve">Lineamientos sobre IA emitidos por la SIC (2024)</t>
  </si>
  <si>
    <t xml:space="preserve">SFC (financieras), Supersalud, MinTIC</t>
  </si>
  <si>
    <t xml:space="preserve">SIC ha emitido lineamientos sobre IA y publicado guías técnicas. Activa en sanciones.</t>
  </si>
  <si>
    <t xml:space="preserve">Perú</t>
  </si>
  <si>
    <t xml:space="preserve">Ley 29.733 + Reglamento (D.S. 003-2013)</t>
  </si>
  <si>
    <t xml:space="preserve">2011 (Reglamento 2013)</t>
  </si>
  <si>
    <t xml:space="preserve">ANPD (integrada en MINJUS)</t>
  </si>
  <si>
    <t xml:space="preserve">No obligatoria explícitamente</t>
  </si>
  <si>
    <t xml:space="preserve">No obligatorio explícitamente</t>
  </si>
  <si>
    <t xml:space="preserve">Hasta 100 UIT (~USD 130K)</t>
  </si>
  <si>
    <t xml:space="preserve">Reglamento de IA en discusión</t>
  </si>
  <si>
    <t xml:space="preserve">SBS (financieras), SUSALUD, OSIPTEL</t>
  </si>
  <si>
    <t xml:space="preserve">Marco regulatorio en proceso de modernización. Modificaciones esperadas alineadas con LGPD/GDPR.</t>
  </si>
  <si>
    <t xml:space="preserve">Ecuador</t>
  </si>
  <si>
    <t xml:space="preserve">LOPDP (Ley Orgánica de Protección de Datos Personales)</t>
  </si>
  <si>
    <t xml:space="preserve">2021</t>
  </si>
  <si>
    <t xml:space="preserve">SPDP (Superintendencia de Protección de Datos Personales)</t>
  </si>
  <si>
    <t xml:space="preserve">Sí, para alto riesgo</t>
  </si>
  <si>
    <t xml:space="preserve">Sí, 5 días</t>
  </si>
  <si>
    <t xml:space="preserve">Hasta 0.7% facturación anual; multas mínimas relevantes</t>
  </si>
  <si>
    <t xml:space="preserve">Superintendencia de Bancos, ARCOTEL</t>
  </si>
  <si>
    <t xml:space="preserve">LOPDP es muy similar a GDPR en estructura. SPDP comenzó operaciones plenas en 2023.</t>
  </si>
  <si>
    <t xml:space="preserve">Uruguay</t>
  </si>
  <si>
    <t xml:space="preserve">Ley 18.331</t>
  </si>
  <si>
    <t xml:space="preserve">2008</t>
  </si>
  <si>
    <t xml:space="preserve">URCDP</t>
  </si>
  <si>
    <t xml:space="preserve">Recomendada</t>
  </si>
  <si>
    <t xml:space="preserve">Permitidas con países adecuados (status de adecuación con UE)</t>
  </si>
  <si>
    <t xml:space="preserve">Hasta 500 UR (~USD 25K)</t>
  </si>
  <si>
    <t xml:space="preserve">Estrategia Nacional de IA (2020)</t>
  </si>
  <si>
    <t xml:space="preserve">BCU (financieras), URSEC</t>
  </si>
  <si>
    <t xml:space="preserve">Uruguay tiene reconocimiento de adecuación de la UE. Marco maduro pero con sanciones bajas en términos absolutos.</t>
  </si>
  <si>
    <t xml:space="preserve">USA — Federal</t>
  </si>
  <si>
    <t xml:space="preserve">USA</t>
  </si>
  <si>
    <t xml:space="preserve">Sin ley general; sectoral (HIPAA, GLBA, FCRA, COPPA, FERPA)</t>
  </si>
  <si>
    <t xml:space="preserve">Varía por ley</t>
  </si>
  <si>
    <t xml:space="preserve">FTC + autoridades sectoriales</t>
  </si>
  <si>
    <t xml:space="preserve">Sectorial (HIPAA exige Risk Assessment)</t>
  </si>
  <si>
    <t xml:space="preserve">Sectorial</t>
  </si>
  <si>
    <t xml:space="preserve">Sí, 50 estados con leyes de notificación de brechas</t>
  </si>
  <si>
    <t xml:space="preserve">No federal</t>
  </si>
  <si>
    <t xml:space="preserve">Permitidas con limitaciones sectoriales</t>
  </si>
  <si>
    <t xml:space="preserve">Varía mucho por sector y violación</t>
  </si>
  <si>
    <t xml:space="preserve">Sí, si datos UE o sistema usado en UE</t>
  </si>
  <si>
    <t xml:space="preserve">Estándar de facto</t>
  </si>
  <si>
    <t xml:space="preserve">Executive Order on AI (Oct 2023); NIST AI RMF como estándar voluntario</t>
  </si>
  <si>
    <t xml:space="preserve">HIPAA (salud), GLBA (financieras), COPPA (menores), SEC (mercados)</t>
  </si>
  <si>
    <t xml:space="preserve">Sin ley federal de privacidad general. ADPPA en discusión legislativa. NIST AI RMF es referencia obligada.</t>
  </si>
  <si>
    <t xml:space="preserve">USA — California</t>
  </si>
  <si>
    <t xml:space="preserve">CCPA + CPRA</t>
  </si>
  <si>
    <t xml:space="preserve">2018 CCPA, 2023 CPRA vigente</t>
  </si>
  <si>
    <t xml:space="preserve">CPPA (California Privacy Protection Agency)</t>
  </si>
  <si>
    <t xml:space="preserve">Sí, para 'high risk processing' bajo CPRA</t>
  </si>
  <si>
    <t xml:space="preserve">No siempre (opt-out model); opt-in para sensibles</t>
  </si>
  <si>
    <t xml:space="preserve">Limitado (opt-out de decisiones automatizadas)</t>
  </si>
  <si>
    <t xml:space="preserve">Sí (Cal. Civ. Code § 1798.82)</t>
  </si>
  <si>
    <t xml:space="preserve">No obligatorio (Privacy Officer recomendado)</t>
  </si>
  <si>
    <t xml:space="preserve">No restringidas como GDPR</t>
  </si>
  <si>
    <t xml:space="preserve">Hasta USD 7,500 por violación intencional; USD 2,500 por no intencional</t>
  </si>
  <si>
    <t xml:space="preserve">Sí, si datos UE</t>
  </si>
  <si>
    <t xml:space="preserve">CPRA establece opt-out de automated decision-making</t>
  </si>
  <si>
    <t xml:space="preserve">Ninguna sectorial específica de CA</t>
  </si>
  <si>
    <t xml:space="preserve">Otros estados con leyes similares: Virginia (VCDPA), Colorado (CPA), Connecticut (CTDPA), Utah (UCPA), Texas (TDPSA), etc.</t>
  </si>
  <si>
    <t xml:space="preserve">UK</t>
  </si>
  <si>
    <t xml:space="preserve">Europa</t>
  </si>
  <si>
    <t xml:space="preserve">UK GDPR + Data Protection Act 2018</t>
  </si>
  <si>
    <t xml:space="preserve">2018 (efectivo Brexit 2020)</t>
  </si>
  <si>
    <t xml:space="preserve">ICO (Information Commissioner's Office)</t>
  </si>
  <si>
    <t xml:space="preserve">Sí, obligatorio para alto riesgo</t>
  </si>
  <si>
    <t xml:space="preserve">Sí, igual que GDPR</t>
  </si>
  <si>
    <t xml:space="preserve">Sí (Art. 22)</t>
  </si>
  <si>
    <t xml:space="preserve">Sí, 72 horas a ICO</t>
  </si>
  <si>
    <t xml:space="preserve">Obligatorio (similar GDPR)</t>
  </si>
  <si>
    <t xml:space="preserve">Restringidas; UK-EU adecuación, cláusulas tipo IDTA</t>
  </si>
  <si>
    <t xml:space="preserve">£17.5M o 4% facturación global (lo mayor)</t>
  </si>
  <si>
    <t xml:space="preserve">No directamente; UK con régimen propio</t>
  </si>
  <si>
    <t xml:space="preserve">UK AI Regulation White Paper (2023) — enfoque sectorial</t>
  </si>
  <si>
    <t xml:space="preserve">FCA (financieras), MHRA (salud), Ofcom (comunicaciones)</t>
  </si>
  <si>
    <t xml:space="preserve">Data Protection and Digital Information Bill en discusión. Enfoque regulatorio pro-innovación con guidance sectorial.</t>
  </si>
  <si>
    <t xml:space="preserve">Unión Europea (referencia)</t>
  </si>
  <si>
    <t xml:space="preserve">GDPR + EU AI Act</t>
  </si>
  <si>
    <t xml:space="preserve">GDPR 2018, EU AI Act 2024 (escalonado a 2027)</t>
  </si>
  <si>
    <t xml:space="preserve">EDPB + autoridades nacionales + AI Office</t>
  </si>
  <si>
    <t xml:space="preserve">Obligatorio en muchos casos</t>
  </si>
  <si>
    <t xml:space="preserve">Restringidas; cláusulas tipo, decisiones de adecuación</t>
  </si>
  <si>
    <t xml:space="preserve">GDPR: hasta 4% facturación global. EU AI Act: hasta 7% para sistemas prohibidos</t>
  </si>
  <si>
    <t xml:space="preserve">Aplica directamente</t>
  </si>
  <si>
    <t xml:space="preserve">EU AI Act clasifica sistemas en 4 niveles de riesgo</t>
  </si>
  <si>
    <t xml:space="preserve">DORA (servicios financieros), MDR (dispositivos médicos)</t>
  </si>
  <si>
    <t xml:space="preserve">EU AI Act tiene aplicación extraterritorial: aplica a cualquier sistema de IA usado en la UE, incluso si el proveedor está fuera. Multas muy elevadas.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</si>
</sst>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0.00"/>
  </numFmts>
  <fonts count="4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3A5F"/>
      <name val="Arial"/>
      <family val="0"/>
      <charset val="1"/>
    </font>
    <font>
      <i val="true"/>
      <sz val="11"/>
      <color rgb="FF6B7280"/>
      <name val="Arial"/>
      <family val="0"/>
      <charset val="1"/>
    </font>
    <font>
      <b val="true"/>
      <sz val="13"/>
      <color rgb="FF1F3A5F"/>
      <name val="Arial"/>
      <family val="0"/>
      <charset val="1"/>
    </font>
    <font>
      <b val="true"/>
      <sz val="14"/>
      <color rgb="FF0000FF"/>
      <name val="Arial"/>
      <family val="0"/>
      <charset val="1"/>
    </font>
    <font>
      <b val="true"/>
      <sz val="11"/>
      <color rgb="FF2D2D2D"/>
      <name val="Arial"/>
      <family val="0"/>
      <charset val="1"/>
    </font>
    <font>
      <sz val="12"/>
      <color rgb="FF1F3A5F"/>
      <name val="Arial"/>
      <family val="0"/>
      <charset val="1"/>
    </font>
    <font>
      <sz val="11"/>
      <color rgb="FF2D2D2D"/>
      <name val="Arial"/>
      <family val="0"/>
      <charset val="1"/>
    </font>
    <font>
      <b val="true"/>
      <sz val="12"/>
      <color rgb="FFB91C1C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sz val="10"/>
      <color rgb="FF2D2D2D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b val="true"/>
      <sz val="13"/>
      <color rgb="FF2E7D32"/>
      <name val="Arial"/>
      <family val="0"/>
      <charset val="1"/>
    </font>
    <font>
      <b val="true"/>
      <sz val="13"/>
      <color rgb="FFB7791F"/>
      <name val="Arial"/>
      <family val="0"/>
      <charset val="1"/>
    </font>
    <font>
      <b val="true"/>
      <sz val="13"/>
      <color rgb="FFB91C1C"/>
      <name val="Arial"/>
      <family val="0"/>
      <charset val="1"/>
    </font>
    <font>
      <sz val="13"/>
      <color rgb="FF6B7280"/>
      <name val="Arial"/>
      <family val="0"/>
      <charset val="1"/>
    </font>
    <font>
      <b val="true"/>
      <sz val="14"/>
      <color rgb="FF1F3A5F"/>
      <name val="Arial"/>
      <family val="0"/>
      <charset val="1"/>
    </font>
    <font>
      <b val="true"/>
      <sz val="18"/>
      <color rgb="FF1F3A5F"/>
      <name val="Arial"/>
      <family val="0"/>
      <charset val="1"/>
    </font>
    <font>
      <b val="true"/>
      <sz val="10"/>
      <color rgb="FF2D2D2D"/>
      <name val="Arial"/>
      <family val="0"/>
      <charset val="1"/>
    </font>
    <font>
      <b val="true"/>
      <sz val="14"/>
      <color rgb="FF2E7D32"/>
      <name val="Arial"/>
      <family val="0"/>
      <charset val="1"/>
    </font>
    <font>
      <b val="true"/>
      <sz val="14"/>
      <color rgb="FFB7791F"/>
      <name val="Arial"/>
      <family val="0"/>
      <charset val="1"/>
    </font>
    <font>
      <i val="true"/>
      <sz val="10"/>
      <color rgb="FF2D2D2D"/>
      <name val="Arial"/>
      <family val="0"/>
      <charset val="1"/>
    </font>
    <font>
      <b val="true"/>
      <sz val="11"/>
      <color rgb="FFB91C1C"/>
      <name val="Arial"/>
      <family val="0"/>
      <charset val="1"/>
    </font>
    <font>
      <b val="true"/>
      <sz val="13"/>
      <color rgb="FF0000FF"/>
      <name val="Arial"/>
      <family val="0"/>
      <charset val="1"/>
    </font>
    <font>
      <b val="true"/>
      <sz val="12"/>
      <color rgb="FF2E75B6"/>
      <name val="Arial"/>
      <family val="0"/>
      <charset val="1"/>
    </font>
    <font>
      <b val="true"/>
      <sz val="11"/>
      <color rgb="FF2E75B6"/>
      <name val="Arial"/>
      <family val="0"/>
      <charset val="1"/>
    </font>
    <font>
      <b val="true"/>
      <sz val="12"/>
      <color rgb="FF2D2D2D"/>
      <name val="Arial"/>
      <family val="0"/>
      <charset val="1"/>
    </font>
    <font>
      <b val="true"/>
      <sz val="16"/>
      <color rgb="FFB91C1C"/>
      <name val="Arial"/>
      <family val="0"/>
      <charset val="1"/>
    </font>
    <font>
      <b val="true"/>
      <sz val="16"/>
      <color rgb="FF2E7D32"/>
      <name val="Arial"/>
      <family val="0"/>
      <charset val="1"/>
    </font>
    <font>
      <b val="true"/>
      <sz val="11"/>
      <color rgb="FFB7791F"/>
      <name val="Arial"/>
      <family val="0"/>
      <charset val="1"/>
    </font>
    <font>
      <b val="true"/>
      <sz val="11"/>
      <color rgb="FF2E7D32"/>
      <name val="Arial"/>
      <family val="0"/>
      <charset val="1"/>
    </font>
    <font>
      <i val="true"/>
      <sz val="11"/>
      <color rgb="FF2D2D2D"/>
      <name val="Arial"/>
      <family val="0"/>
      <charset val="1"/>
    </font>
    <font>
      <b val="true"/>
      <sz val="16"/>
      <color rgb="FF1F3A5F"/>
      <name val="Arial"/>
      <family val="0"/>
      <charset val="1"/>
    </font>
    <font>
      <sz val="9"/>
      <color rgb="FF2D2D2D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8DC"/>
        <bgColor rgb="FFFFF4D6"/>
      </patternFill>
    </fill>
    <fill>
      <patternFill patternType="solid">
        <fgColor rgb="FFE8EEF4"/>
        <bgColor rgb="FFE8F4E8"/>
      </patternFill>
    </fill>
    <fill>
      <patternFill patternType="solid">
        <fgColor rgb="FFFDE7E9"/>
        <bgColor rgb="FFFFF4D6"/>
      </patternFill>
    </fill>
    <fill>
      <patternFill patternType="solid">
        <fgColor rgb="FFDCEEDC"/>
        <bgColor rgb="FFE8F4E8"/>
      </patternFill>
    </fill>
    <fill>
      <patternFill patternType="solid">
        <fgColor rgb="FFE8F4E8"/>
        <bgColor rgb="FFE8EEF4"/>
      </patternFill>
    </fill>
    <fill>
      <patternFill patternType="solid">
        <fgColor rgb="FFFFF4D6"/>
        <bgColor rgb="FFFFF8DC"/>
      </patternFill>
    </fill>
    <fill>
      <patternFill patternType="solid">
        <fgColor rgb="FFF7F9FB"/>
        <bgColor rgb="FFE8F4E8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F3A5F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1F3A5F"/>
      </left>
      <right style="thin">
        <color rgb="FF1F3A5F"/>
      </right>
      <top style="thin">
        <color rgb="FF1F3A5F"/>
      </top>
      <bottom style="thin">
        <color rgb="FF1F3A5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3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3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34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3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0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7F9FB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791F"/>
      <rgbColor rgb="FF800080"/>
      <rgbColor rgb="FF008080"/>
      <rgbColor rgb="FFCCCCCC"/>
      <rgbColor rgb="FF808080"/>
      <rgbColor rgb="FF9999FF"/>
      <rgbColor rgb="FF993366"/>
      <rgbColor rgb="FFFFF8DC"/>
      <rgbColor rgb="FFE8F4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4"/>
      <rgbColor rgb="FFDCEEDC"/>
      <rgbColor rgb="FFFFF4D6"/>
      <rgbColor rgb="FF99CCFF"/>
      <rgbColor rgb="FFFF99CC"/>
      <rgbColor rgb="FFCC99FF"/>
      <rgbColor rgb="FFFDE7E9"/>
      <rgbColor rgb="FF2E75B6"/>
      <rgbColor rgb="FF33CCCC"/>
      <rgbColor rgb="FF99CC00"/>
      <rgbColor rgb="FFFFCC00"/>
      <rgbColor rgb="FFFF9900"/>
      <rgbColor rgb="FFFF6600"/>
      <rgbColor rgb="FF6B7280"/>
      <rgbColor rgb="FF969696"/>
      <rgbColor rgb="FF1F3A5F"/>
      <rgbColor rgb="FF2E7D32"/>
      <rgbColor rgb="FF003300"/>
      <rgbColor rgb="FF333300"/>
      <rgbColor rgb="FFB91C1C"/>
      <rgbColor rgb="FF993366"/>
      <rgbColor rgb="FF333399"/>
      <rgbColor rgb="FF2D2D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E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5" min="4" style="0" width="1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3" customFormat="false" ht="15" hidden="false" customHeight="false" outlineLevel="0" collapsed="false">
      <c r="A3" s="3"/>
      <c r="B3" s="3"/>
      <c r="C3" s="3"/>
      <c r="D3" s="3"/>
      <c r="E3" s="3"/>
    </row>
    <row r="5" customFormat="false" ht="17.35" hidden="false" customHeight="true" outlineLevel="0" collapsed="false">
      <c r="A5" s="4" t="s">
        <v>2</v>
      </c>
      <c r="B5" s="5" t="s">
        <v>3</v>
      </c>
      <c r="C5" s="5"/>
      <c r="D5" s="5"/>
    </row>
    <row r="7" customFormat="false" ht="15" hidden="false" customHeight="false" outlineLevel="0" collapsed="false">
      <c r="A7" s="6" t="s">
        <v>4</v>
      </c>
      <c r="B7" s="7" t="str">
        <f aca="false">VLOOKUP($B$5,'Tabla Maestra'!$A$5:$V$16,2,FALSE())</f>
        <v>Latam</v>
      </c>
      <c r="C7" s="7"/>
    </row>
    <row r="8" customFormat="false" ht="15" hidden="false" customHeight="false" outlineLevel="0" collapsed="false">
      <c r="A8" s="6" t="s">
        <v>5</v>
      </c>
      <c r="B8" s="7" t="str">
        <f aca="false">VLOOKUP($B$5,'Tabla Maestra'!$A$5:$V$16,5,FALSE())</f>
        <v>INAI</v>
      </c>
      <c r="C8" s="7"/>
      <c r="D8" s="7"/>
      <c r="E8" s="7"/>
    </row>
    <row r="10" customFormat="false" ht="16.15" hidden="false" customHeight="false" outlineLevel="0" collapsed="false">
      <c r="A10" s="8" t="s">
        <v>6</v>
      </c>
      <c r="B10" s="8"/>
      <c r="C10" s="8"/>
      <c r="D10" s="8"/>
      <c r="E10" s="8"/>
    </row>
    <row r="11" customFormat="false" ht="21.75" hidden="false" customHeight="true" outlineLevel="0" collapsed="false">
      <c r="A11" s="9" t="s">
        <v>7</v>
      </c>
      <c r="B11" s="10" t="str">
        <f aca="false">VLOOKUP($B$5,'Tabla Maestra'!$A$5:$V$16,3,FALSE())</f>
        <v>LFPDPPP</v>
      </c>
      <c r="C11" s="10"/>
      <c r="D11" s="10"/>
      <c r="E11" s="10"/>
    </row>
    <row r="12" customFormat="false" ht="21.75" hidden="false" customHeight="true" outlineLevel="0" collapsed="false">
      <c r="A12" s="9" t="s">
        <v>8</v>
      </c>
      <c r="B12" s="10" t="str">
        <f aca="false">VLOOKUP($B$5,'Tabla Maestra'!$A$5:$V$16,4,FALSE())</f>
        <v>2010 (reforma 2024 en curso)</v>
      </c>
      <c r="C12" s="10"/>
      <c r="D12" s="10"/>
      <c r="E12" s="10"/>
    </row>
    <row r="13" customFormat="false" ht="21.75" hidden="false" customHeight="true" outlineLevel="0" collapsed="false">
      <c r="A13" s="9" t="s">
        <v>9</v>
      </c>
      <c r="B13" s="10" t="str">
        <f aca="false">VLOOKUP($B$5,'Tabla Maestra'!$A$5:$V$16,13,FALSE())</f>
        <v>Sí, si trata datos UE o vende a UE</v>
      </c>
      <c r="C13" s="10"/>
      <c r="D13" s="10"/>
      <c r="E13" s="10"/>
    </row>
    <row r="14" customFormat="false" ht="21.75" hidden="false" customHeight="true" outlineLevel="0" collapsed="false">
      <c r="A14" s="9" t="s">
        <v>10</v>
      </c>
      <c r="B14" s="10" t="str">
        <f aca="false">VLOOKUP($B$5,'Tabla Maestra'!$A$5:$V$16,20,FALSE())</f>
        <v>En discusión legislativa</v>
      </c>
      <c r="C14" s="10"/>
      <c r="D14" s="10"/>
      <c r="E14" s="10"/>
    </row>
    <row r="16" customFormat="false" ht="16.15" hidden="false" customHeight="false" outlineLevel="0" collapsed="false">
      <c r="A16" s="8" t="s">
        <v>11</v>
      </c>
      <c r="B16" s="8"/>
      <c r="C16" s="8"/>
      <c r="D16" s="8"/>
      <c r="E16" s="8"/>
    </row>
    <row r="17" customFormat="false" ht="21.75" hidden="false" customHeight="true" outlineLevel="0" collapsed="false">
      <c r="A17" s="9" t="s">
        <v>12</v>
      </c>
      <c r="B17" s="10" t="str">
        <f aca="false">VLOOKUP($B$5,'Tabla Maestra'!$A$5:$V$16,6,FALSE())</f>
        <v>Recomendada (no exigida explícitamente)</v>
      </c>
      <c r="C17" s="10"/>
      <c r="D17" s="10"/>
      <c r="E17" s="10"/>
    </row>
    <row r="18" customFormat="false" ht="21.75" hidden="false" customHeight="true" outlineLevel="0" collapsed="false">
      <c r="A18" s="9" t="s">
        <v>13</v>
      </c>
      <c r="B18" s="10" t="str">
        <f aca="false">VLOOKUP($B$5,'Tabla Maestra'!$A$5:$V$16,7,FALSE())</f>
        <v>Sí, en la mayoría de casos</v>
      </c>
      <c r="C18" s="10"/>
      <c r="D18" s="10"/>
      <c r="E18" s="10"/>
    </row>
    <row r="19" customFormat="false" ht="21.75" hidden="false" customHeight="true" outlineLevel="0" collapsed="false">
      <c r="A19" s="9" t="s">
        <v>14</v>
      </c>
      <c r="B19" s="10" t="str">
        <f aca="false">VLOOKUP($B$5,'Tabla Maestra'!$A$5:$V$16,8,FALSE())</f>
        <v>Parcial</v>
      </c>
      <c r="C19" s="10"/>
      <c r="D19" s="10"/>
      <c r="E19" s="10"/>
    </row>
    <row r="20" customFormat="false" ht="21.75" hidden="false" customHeight="true" outlineLevel="0" collapsed="false">
      <c r="A20" s="9" t="s">
        <v>15</v>
      </c>
      <c r="B20" s="10" t="str">
        <f aca="false">VLOOKUP($B$5,'Tabla Maestra'!$A$5:$V$16,9,FALSE())</f>
        <v>Inmediata (sin plazo legal específico)</v>
      </c>
      <c r="C20" s="10"/>
      <c r="D20" s="10"/>
      <c r="E20" s="10"/>
    </row>
    <row r="21" customFormat="false" ht="21.75" hidden="false" customHeight="true" outlineLevel="0" collapsed="false">
      <c r="A21" s="9" t="s">
        <v>16</v>
      </c>
      <c r="B21" s="10" t="str">
        <f aca="false">VLOOKUP($B$5,'Tabla Maestra'!$A$5:$V$16,10,FALSE())</f>
        <v>No general; sí grandes volúmenes</v>
      </c>
      <c r="C21" s="10"/>
      <c r="D21" s="10"/>
      <c r="E21" s="10"/>
    </row>
    <row r="22" customFormat="false" ht="21.75" hidden="false" customHeight="true" outlineLevel="0" collapsed="false">
      <c r="A22" s="9" t="s">
        <v>17</v>
      </c>
      <c r="B22" s="10" t="str">
        <f aca="false">VLOOKUP($B$5,'Tabla Maestra'!$A$5:$V$16,11,FALSE())</f>
        <v>Permitidas con consentimiento o cláusulas</v>
      </c>
      <c r="C22" s="10"/>
      <c r="D22" s="10"/>
      <c r="E22" s="10"/>
    </row>
    <row r="24" customFormat="false" ht="16.15" hidden="false" customHeight="false" outlineLevel="0" collapsed="false">
      <c r="A24" s="11" t="s">
        <v>18</v>
      </c>
      <c r="B24" s="11"/>
      <c r="C24" s="11"/>
      <c r="D24" s="11"/>
      <c r="E24" s="11"/>
    </row>
    <row r="25" customFormat="false" ht="30" hidden="false" customHeight="true" outlineLevel="0" collapsed="false">
      <c r="A25" s="6" t="s">
        <v>19</v>
      </c>
      <c r="B25" s="12" t="str">
        <f aca="false">VLOOKUP($B$5,'Tabla Maestra'!$A$5:$V$16,12,FALSE())</f>
        <v>Hasta 320,000 días de salario mínimo (~USD 100K-110K)</v>
      </c>
      <c r="C25" s="12"/>
      <c r="D25" s="12"/>
      <c r="E25" s="12"/>
    </row>
    <row r="27" customFormat="false" ht="16.15" hidden="false" customHeight="false" outlineLevel="0" collapsed="false">
      <c r="A27" s="8" t="s">
        <v>20</v>
      </c>
      <c r="B27" s="8"/>
      <c r="C27" s="8"/>
      <c r="D27" s="8"/>
      <c r="E27" s="8"/>
    </row>
    <row r="28" customFormat="false" ht="15" hidden="false" customHeight="false" outlineLevel="0" collapsed="false">
      <c r="A28" s="13" t="s">
        <v>21</v>
      </c>
      <c r="B28" s="13" t="s">
        <v>22</v>
      </c>
      <c r="C28" s="13" t="s">
        <v>23</v>
      </c>
    </row>
    <row r="29" customFormat="false" ht="27.75" hidden="false" customHeight="true" outlineLevel="0" collapsed="false">
      <c r="A29" s="14" t="s">
        <v>24</v>
      </c>
      <c r="B29" s="15" t="str">
        <f aca="false">VLOOKUP($B$5,'Tabla Maestra'!$A$5:$V$16,14,FALSE())</f>
        <v>Muy recomendado</v>
      </c>
      <c r="C29" s="16" t="s">
        <v>25</v>
      </c>
      <c r="D29" s="16"/>
      <c r="E29" s="16"/>
    </row>
    <row r="30" customFormat="false" ht="27.75" hidden="false" customHeight="true" outlineLevel="0" collapsed="false">
      <c r="A30" s="14" t="s">
        <v>26</v>
      </c>
      <c r="B30" s="15" t="str">
        <f aca="false">VLOOKUP($B$5,'Tabla Maestra'!$A$5:$V$16,15,FALSE())</f>
        <v>Recomendado</v>
      </c>
      <c r="C30" s="16" t="s">
        <v>27</v>
      </c>
      <c r="D30" s="16"/>
      <c r="E30" s="16"/>
    </row>
    <row r="31" customFormat="false" ht="27.75" hidden="false" customHeight="true" outlineLevel="0" collapsed="false">
      <c r="A31" s="14" t="s">
        <v>28</v>
      </c>
      <c r="B31" s="15" t="str">
        <f aca="false">VLOOKUP($B$5,'Tabla Maestra'!$A$5:$V$16,16,FALSE())</f>
        <v>Recomendado</v>
      </c>
      <c r="C31" s="16" t="s">
        <v>29</v>
      </c>
      <c r="D31" s="16"/>
      <c r="E31" s="16"/>
    </row>
    <row r="32" customFormat="false" ht="27.75" hidden="false" customHeight="true" outlineLevel="0" collapsed="false">
      <c r="A32" s="14" t="s">
        <v>30</v>
      </c>
      <c r="B32" s="15" t="str">
        <f aca="false">VLOOKUP($B$5,'Tabla Maestra'!$A$5:$V$16,17,FALSE())</f>
        <v>Recomendado</v>
      </c>
      <c r="C32" s="16" t="s">
        <v>31</v>
      </c>
      <c r="D32" s="16"/>
      <c r="E32" s="16"/>
    </row>
    <row r="33" customFormat="false" ht="27.75" hidden="false" customHeight="true" outlineLevel="0" collapsed="false">
      <c r="A33" s="14" t="s">
        <v>32</v>
      </c>
      <c r="B33" s="15" t="str">
        <f aca="false">VLOOKUP($B$5,'Tabla Maestra'!$A$5:$V$16,18,FALSE())</f>
        <v>Referencia</v>
      </c>
      <c r="C33" s="16" t="s">
        <v>33</v>
      </c>
      <c r="D33" s="16"/>
      <c r="E33" s="16"/>
    </row>
    <row r="34" customFormat="false" ht="27.75" hidden="false" customHeight="true" outlineLevel="0" collapsed="false">
      <c r="A34" s="14" t="s">
        <v>34</v>
      </c>
      <c r="B34" s="15" t="str">
        <f aca="false">VLOOKUP($B$5,'Tabla Maestra'!$A$5:$V$16,19,FALSE())</f>
        <v>Referencia</v>
      </c>
      <c r="C34" s="16" t="s">
        <v>35</v>
      </c>
      <c r="D34" s="16"/>
      <c r="E34" s="16"/>
    </row>
    <row r="36" customFormat="false" ht="16.15" hidden="false" customHeight="false" outlineLevel="0" collapsed="false">
      <c r="A36" s="8" t="s">
        <v>36</v>
      </c>
      <c r="B36" s="8"/>
      <c r="C36" s="8"/>
      <c r="D36" s="8"/>
      <c r="E36" s="8"/>
    </row>
    <row r="37" customFormat="false" ht="39.75" hidden="false" customHeight="true" outlineLevel="0" collapsed="false">
      <c r="A37" s="17" t="s">
        <v>37</v>
      </c>
      <c r="B37" s="18" t="str">
        <f aca="false">VLOOKUP($B$5,'Tabla Maestra'!$A$5:$V$16,21,FALSE())</f>
        <v>CONDUSEF (finanzas), COFEPRIS (salud), CNBV</v>
      </c>
      <c r="C37" s="18"/>
      <c r="D37" s="18"/>
      <c r="E37" s="18"/>
    </row>
    <row r="38" customFormat="false" ht="60" hidden="false" customHeight="true" outlineLevel="0" collapsed="false">
      <c r="A38" s="17" t="s">
        <v>38</v>
      </c>
      <c r="B38" s="18" t="str">
        <f aca="false">VLOOKUP($B$5,'Tabla Maestra'!$A$5:$V$16,22,FALSE())</f>
        <v>Reforma 2024 acerca a México a estándares internacionales. Mayor enfoque en transferencias y derechos del titular.</v>
      </c>
      <c r="C38" s="18"/>
      <c r="D38" s="18"/>
      <c r="E38" s="18"/>
    </row>
    <row r="41" customFormat="false" ht="16.15" hidden="false" customHeight="false" outlineLevel="0" collapsed="false">
      <c r="A41" s="19" t="s">
        <v>39</v>
      </c>
      <c r="B41" s="19"/>
      <c r="C41" s="19"/>
      <c r="D41" s="19"/>
      <c r="E41" s="19"/>
    </row>
    <row r="42" customFormat="false" ht="15" hidden="false" customHeight="false" outlineLevel="0" collapsed="false">
      <c r="A42" s="20" t="s">
        <v>40</v>
      </c>
      <c r="B42" s="20"/>
      <c r="C42" s="20"/>
      <c r="D42" s="20"/>
      <c r="E42" s="20"/>
    </row>
    <row r="43" customFormat="false" ht="15" hidden="false" customHeight="false" outlineLevel="0" collapsed="false">
      <c r="A43" s="13" t="s">
        <v>41</v>
      </c>
      <c r="B43" s="13" t="s">
        <v>42</v>
      </c>
      <c r="C43" s="13" t="s">
        <v>43</v>
      </c>
    </row>
    <row r="44" customFormat="false" ht="21.75" hidden="false" customHeight="true" outlineLevel="0" collapsed="false">
      <c r="A44" s="16" t="s">
        <v>44</v>
      </c>
      <c r="B44" s="21"/>
      <c r="C44" s="22"/>
      <c r="D44" s="22"/>
      <c r="E44" s="22"/>
    </row>
    <row r="45" customFormat="false" ht="21.75" hidden="false" customHeight="true" outlineLevel="0" collapsed="false">
      <c r="A45" s="16" t="s">
        <v>45</v>
      </c>
      <c r="B45" s="21"/>
      <c r="C45" s="22"/>
      <c r="D45" s="22"/>
      <c r="E45" s="22"/>
    </row>
    <row r="46" customFormat="false" ht="21.75" hidden="false" customHeight="true" outlineLevel="0" collapsed="false">
      <c r="A46" s="16" t="s">
        <v>46</v>
      </c>
      <c r="B46" s="21"/>
      <c r="C46" s="22"/>
      <c r="D46" s="22"/>
      <c r="E46" s="22"/>
    </row>
    <row r="47" customFormat="false" ht="21.75" hidden="false" customHeight="true" outlineLevel="0" collapsed="false">
      <c r="A47" s="16" t="s">
        <v>47</v>
      </c>
      <c r="B47" s="21"/>
      <c r="C47" s="22"/>
      <c r="D47" s="22"/>
      <c r="E47" s="22"/>
    </row>
    <row r="48" customFormat="false" ht="21.75" hidden="false" customHeight="true" outlineLevel="0" collapsed="false">
      <c r="A48" s="16" t="s">
        <v>48</v>
      </c>
      <c r="B48" s="21"/>
      <c r="C48" s="22"/>
      <c r="D48" s="22"/>
      <c r="E48" s="22"/>
    </row>
    <row r="49" customFormat="false" ht="21.75" hidden="false" customHeight="true" outlineLevel="0" collapsed="false">
      <c r="A49" s="16" t="s">
        <v>49</v>
      </c>
      <c r="B49" s="21"/>
      <c r="C49" s="22"/>
      <c r="D49" s="22"/>
      <c r="E49" s="22"/>
    </row>
    <row r="50" customFormat="false" ht="21.75" hidden="false" customHeight="true" outlineLevel="0" collapsed="false">
      <c r="A50" s="16" t="s">
        <v>50</v>
      </c>
      <c r="B50" s="21"/>
      <c r="C50" s="22"/>
      <c r="D50" s="22"/>
      <c r="E50" s="22"/>
    </row>
    <row r="51" customFormat="false" ht="21.75" hidden="false" customHeight="true" outlineLevel="0" collapsed="false">
      <c r="A51" s="16" t="s">
        <v>51</v>
      </c>
      <c r="B51" s="21"/>
      <c r="C51" s="22"/>
      <c r="D51" s="22"/>
      <c r="E51" s="22"/>
    </row>
    <row r="52" customFormat="false" ht="21.75" hidden="false" customHeight="true" outlineLevel="0" collapsed="false">
      <c r="A52" s="16" t="s">
        <v>52</v>
      </c>
      <c r="B52" s="21"/>
      <c r="C52" s="22"/>
      <c r="D52" s="22"/>
      <c r="E52" s="22"/>
    </row>
    <row r="53" customFormat="false" ht="21.75" hidden="false" customHeight="true" outlineLevel="0" collapsed="false">
      <c r="A53" s="16" t="s">
        <v>53</v>
      </c>
      <c r="B53" s="21"/>
      <c r="C53" s="22"/>
      <c r="D53" s="22"/>
      <c r="E53" s="22"/>
    </row>
    <row r="54" customFormat="false" ht="21.75" hidden="false" customHeight="true" outlineLevel="0" collapsed="false">
      <c r="A54" s="16" t="s">
        <v>54</v>
      </c>
      <c r="B54" s="21"/>
      <c r="C54" s="22"/>
      <c r="D54" s="22"/>
      <c r="E54" s="22"/>
    </row>
    <row r="55" customFormat="false" ht="21.75" hidden="false" customHeight="true" outlineLevel="0" collapsed="false">
      <c r="A55" s="16" t="s">
        <v>55</v>
      </c>
      <c r="B55" s="21"/>
      <c r="C55" s="22"/>
      <c r="D55" s="22"/>
      <c r="E55" s="22"/>
    </row>
    <row r="56" customFormat="false" ht="21.75" hidden="false" customHeight="true" outlineLevel="0" collapsed="false">
      <c r="A56" s="16" t="s">
        <v>56</v>
      </c>
      <c r="B56" s="21"/>
      <c r="C56" s="22"/>
      <c r="D56" s="22"/>
      <c r="E56" s="22"/>
    </row>
    <row r="57" customFormat="false" ht="21.75" hidden="false" customHeight="true" outlineLevel="0" collapsed="false">
      <c r="A57" s="16" t="s">
        <v>57</v>
      </c>
      <c r="B57" s="21"/>
      <c r="C57" s="22"/>
      <c r="D57" s="22"/>
      <c r="E57" s="22"/>
    </row>
    <row r="58" customFormat="false" ht="21.75" hidden="false" customHeight="true" outlineLevel="0" collapsed="false">
      <c r="A58" s="16" t="s">
        <v>58</v>
      </c>
      <c r="B58" s="21"/>
      <c r="C58" s="22"/>
      <c r="D58" s="22"/>
      <c r="E58" s="22"/>
    </row>
    <row r="60" customFormat="false" ht="15" hidden="false" customHeight="false" outlineLevel="0" collapsed="false">
      <c r="A60" s="23" t="s">
        <v>59</v>
      </c>
      <c r="B60" s="23"/>
      <c r="C60" s="23"/>
    </row>
    <row r="61" customFormat="false" ht="16.15" hidden="false" customHeight="false" outlineLevel="0" collapsed="false">
      <c r="A61" s="24" t="s">
        <v>60</v>
      </c>
      <c r="B61" s="25" t="n">
        <f aca="false">COUNTIF(B44:B58,"Implementado")</f>
        <v>0</v>
      </c>
    </row>
    <row r="62" customFormat="false" ht="16.15" hidden="false" customHeight="false" outlineLevel="0" collapsed="false">
      <c r="A62" s="24" t="s">
        <v>61</v>
      </c>
      <c r="B62" s="26" t="n">
        <f aca="false">COUNTIF(B44:B58,"Parcial")</f>
        <v>0</v>
      </c>
    </row>
    <row r="63" customFormat="false" ht="16.15" hidden="false" customHeight="false" outlineLevel="0" collapsed="false">
      <c r="A63" s="24" t="s">
        <v>62</v>
      </c>
      <c r="B63" s="27" t="n">
        <f aca="false">COUNTIF(B44:B58,"Pendiente")</f>
        <v>0</v>
      </c>
    </row>
    <row r="64" customFormat="false" ht="16.15" hidden="false" customHeight="false" outlineLevel="0" collapsed="false">
      <c r="A64" s="24" t="s">
        <v>63</v>
      </c>
      <c r="B64" s="28" t="n">
        <f aca="false">COUNTIF(B44:B58,"No aplica")</f>
        <v>0</v>
      </c>
    </row>
    <row r="65" customFormat="false" ht="17.35" hidden="false" customHeight="false" outlineLevel="0" collapsed="false">
      <c r="A65" s="29" t="s">
        <v>64</v>
      </c>
      <c r="B65" s="30" t="n">
        <f aca="false">IFERROR((COUNTIF(B44:B58,"Implementado")+COUNTIF(B44:B58,"Parcial")*0.5)/(COUNTIF(B44:B58,"Implementado")+COUNTIF(B44:B58,"Parcial")+COUNTIF(B44:B58,"Pendiente")),0)</f>
        <v>0</v>
      </c>
    </row>
  </sheetData>
  <mergeCells count="47">
    <mergeCell ref="A1:E1"/>
    <mergeCell ref="A2:E2"/>
    <mergeCell ref="B5:D5"/>
    <mergeCell ref="B7:C7"/>
    <mergeCell ref="B8:E8"/>
    <mergeCell ref="A10:E10"/>
    <mergeCell ref="B11:E11"/>
    <mergeCell ref="B12:E12"/>
    <mergeCell ref="B13:E13"/>
    <mergeCell ref="B14:E14"/>
    <mergeCell ref="A16:E16"/>
    <mergeCell ref="B17:E17"/>
    <mergeCell ref="B18:E18"/>
    <mergeCell ref="B19:E19"/>
    <mergeCell ref="B20:E20"/>
    <mergeCell ref="B21:E21"/>
    <mergeCell ref="B22:E22"/>
    <mergeCell ref="A24:E24"/>
    <mergeCell ref="B25:E25"/>
    <mergeCell ref="A27:E27"/>
    <mergeCell ref="C29:E29"/>
    <mergeCell ref="C30:E30"/>
    <mergeCell ref="C31:E31"/>
    <mergeCell ref="C32:E32"/>
    <mergeCell ref="C33:E33"/>
    <mergeCell ref="C34:E34"/>
    <mergeCell ref="A36:E36"/>
    <mergeCell ref="B37:E37"/>
    <mergeCell ref="B38:E38"/>
    <mergeCell ref="A41:E41"/>
    <mergeCell ref="A42:E42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A60:C60"/>
  </mergeCells>
  <dataValidations count="2">
    <dataValidation allowBlank="false" errorStyle="stop" operator="between" showDropDown="false" showErrorMessage="false" showInputMessage="false" sqref="B5" type="list">
      <formula1>'Tabla Maestra'!$A$5:$A$16</formula1>
      <formula2>0</formula2>
    </dataValidation>
    <dataValidation allowBlank="true" errorStyle="stop" operator="between" showDropDown="false" showErrorMessage="false" showInputMessage="false" sqref="B44:B58" type="list">
      <formula1>"Implementado,Parcial,Pendiente,No aplica"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38"/>
    <col collapsed="false" customWidth="true" hidden="false" outlineLevel="0" max="4" min="4" style="0" width="18"/>
    <col collapsed="false" customWidth="true" hidden="false" outlineLevel="0" max="5" min="5" style="0" width="24"/>
    <col collapsed="false" customWidth="true" hidden="false" outlineLevel="0" max="6" min="6" style="0" width="28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9" min="9" style="0" width="28"/>
    <col collapsed="false" customWidth="true" hidden="false" outlineLevel="0" max="10" min="10" style="0" width="16"/>
    <col collapsed="false" customWidth="true" hidden="false" outlineLevel="0" max="11" min="11" style="0" width="24"/>
  </cols>
  <sheetData>
    <row r="1" customFormat="false" ht="27.75" hidden="false" customHeight="true" outlineLevel="0" collapsed="false">
      <c r="A1" s="31" t="s">
        <v>65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customFormat="false" ht="15" hidden="false" customHeight="false" outlineLevel="0" collapsed="false">
      <c r="A2" s="2" t="s">
        <v>66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1.5" hidden="false" customHeight="true" outlineLevel="0" collapsed="false">
      <c r="A4" s="13" t="s">
        <v>67</v>
      </c>
      <c r="B4" s="13" t="s">
        <v>68</v>
      </c>
      <c r="C4" s="13" t="s">
        <v>69</v>
      </c>
      <c r="D4" s="13" t="s">
        <v>70</v>
      </c>
      <c r="E4" s="13" t="s">
        <v>71</v>
      </c>
      <c r="F4" s="13" t="s">
        <v>72</v>
      </c>
      <c r="G4" s="13" t="s">
        <v>73</v>
      </c>
      <c r="H4" s="13" t="s">
        <v>74</v>
      </c>
      <c r="I4" s="13" t="s">
        <v>75</v>
      </c>
      <c r="J4" s="13" t="s">
        <v>76</v>
      </c>
      <c r="K4" s="13" t="s">
        <v>77</v>
      </c>
    </row>
    <row r="5" customFormat="false" ht="69.75" hidden="false" customHeight="true" outlineLevel="0" collapsed="false">
      <c r="A5" s="32" t="n">
        <v>1</v>
      </c>
      <c r="B5" s="33" t="s">
        <v>78</v>
      </c>
      <c r="C5" s="34" t="s">
        <v>79</v>
      </c>
      <c r="D5" s="34" t="s">
        <v>80</v>
      </c>
      <c r="E5" s="34" t="s">
        <v>81</v>
      </c>
      <c r="F5" s="34" t="s">
        <v>82</v>
      </c>
      <c r="G5" s="35" t="s">
        <v>83</v>
      </c>
      <c r="H5" s="15" t="n">
        <v>5</v>
      </c>
      <c r="I5" s="34" t="s">
        <v>84</v>
      </c>
      <c r="J5" s="21"/>
      <c r="K5" s="36"/>
    </row>
    <row r="6" customFormat="false" ht="69.75" hidden="false" customHeight="true" outlineLevel="0" collapsed="false">
      <c r="A6" s="32" t="n">
        <v>2</v>
      </c>
      <c r="B6" s="33" t="s">
        <v>85</v>
      </c>
      <c r="C6" s="34" t="s">
        <v>86</v>
      </c>
      <c r="D6" s="34" t="s">
        <v>80</v>
      </c>
      <c r="E6" s="34" t="s">
        <v>87</v>
      </c>
      <c r="F6" s="34" t="s">
        <v>88</v>
      </c>
      <c r="G6" s="35" t="s">
        <v>89</v>
      </c>
      <c r="H6" s="15" t="n">
        <v>5</v>
      </c>
      <c r="I6" s="34" t="s">
        <v>90</v>
      </c>
      <c r="J6" s="21"/>
      <c r="K6" s="36"/>
    </row>
    <row r="7" customFormat="false" ht="69.75" hidden="false" customHeight="true" outlineLevel="0" collapsed="false">
      <c r="A7" s="32" t="n">
        <v>3</v>
      </c>
      <c r="B7" s="33" t="s">
        <v>91</v>
      </c>
      <c r="C7" s="34" t="s">
        <v>92</v>
      </c>
      <c r="D7" s="34" t="s">
        <v>80</v>
      </c>
      <c r="E7" s="34" t="s">
        <v>93</v>
      </c>
      <c r="F7" s="34" t="s">
        <v>94</v>
      </c>
      <c r="G7" s="35" t="s">
        <v>89</v>
      </c>
      <c r="H7" s="15" t="n">
        <v>4</v>
      </c>
      <c r="I7" s="34" t="s">
        <v>95</v>
      </c>
      <c r="J7" s="21"/>
      <c r="K7" s="36"/>
    </row>
    <row r="8" customFormat="false" ht="69.75" hidden="false" customHeight="true" outlineLevel="0" collapsed="false">
      <c r="A8" s="32" t="n">
        <v>4</v>
      </c>
      <c r="B8" s="33" t="s">
        <v>96</v>
      </c>
      <c r="C8" s="34" t="s">
        <v>97</v>
      </c>
      <c r="D8" s="34" t="s">
        <v>80</v>
      </c>
      <c r="E8" s="34" t="s">
        <v>98</v>
      </c>
      <c r="F8" s="34" t="s">
        <v>99</v>
      </c>
      <c r="G8" s="35" t="s">
        <v>83</v>
      </c>
      <c r="H8" s="15" t="n">
        <v>4</v>
      </c>
      <c r="I8" s="34" t="s">
        <v>100</v>
      </c>
      <c r="J8" s="21"/>
      <c r="K8" s="36"/>
    </row>
    <row r="9" customFormat="false" ht="69.75" hidden="false" customHeight="true" outlineLevel="0" collapsed="false">
      <c r="A9" s="32" t="n">
        <v>5</v>
      </c>
      <c r="B9" s="33" t="s">
        <v>101</v>
      </c>
      <c r="C9" s="34" t="s">
        <v>102</v>
      </c>
      <c r="D9" s="34" t="s">
        <v>103</v>
      </c>
      <c r="E9" s="34" t="s">
        <v>104</v>
      </c>
      <c r="F9" s="34" t="s">
        <v>105</v>
      </c>
      <c r="G9" s="35" t="s">
        <v>83</v>
      </c>
      <c r="H9" s="15" t="n">
        <v>4</v>
      </c>
      <c r="I9" s="34" t="s">
        <v>106</v>
      </c>
      <c r="J9" s="21"/>
      <c r="K9" s="36"/>
    </row>
    <row r="10" customFormat="false" ht="69.75" hidden="false" customHeight="true" outlineLevel="0" collapsed="false">
      <c r="A10" s="32" t="n">
        <v>6</v>
      </c>
      <c r="B10" s="33" t="s">
        <v>107</v>
      </c>
      <c r="C10" s="34" t="s">
        <v>108</v>
      </c>
      <c r="D10" s="34" t="s">
        <v>80</v>
      </c>
      <c r="E10" s="34" t="s">
        <v>109</v>
      </c>
      <c r="F10" s="34" t="s">
        <v>110</v>
      </c>
      <c r="G10" s="35" t="s">
        <v>89</v>
      </c>
      <c r="H10" s="15" t="n">
        <v>4</v>
      </c>
      <c r="I10" s="34" t="s">
        <v>111</v>
      </c>
      <c r="J10" s="21"/>
      <c r="K10" s="36"/>
    </row>
    <row r="11" customFormat="false" ht="69.75" hidden="false" customHeight="true" outlineLevel="0" collapsed="false">
      <c r="A11" s="32" t="n">
        <v>7</v>
      </c>
      <c r="B11" s="33" t="s">
        <v>112</v>
      </c>
      <c r="C11" s="34" t="s">
        <v>113</v>
      </c>
      <c r="D11" s="34" t="s">
        <v>114</v>
      </c>
      <c r="E11" s="34" t="s">
        <v>115</v>
      </c>
      <c r="F11" s="34" t="s">
        <v>116</v>
      </c>
      <c r="G11" s="35" t="s">
        <v>89</v>
      </c>
      <c r="H11" s="15" t="n">
        <v>5</v>
      </c>
      <c r="I11" s="34" t="s">
        <v>117</v>
      </c>
      <c r="J11" s="21"/>
      <c r="K11" s="36"/>
    </row>
    <row r="12" customFormat="false" ht="69.75" hidden="false" customHeight="true" outlineLevel="0" collapsed="false">
      <c r="A12" s="32" t="n">
        <v>8</v>
      </c>
      <c r="B12" s="33" t="s">
        <v>118</v>
      </c>
      <c r="C12" s="34" t="s">
        <v>119</v>
      </c>
      <c r="D12" s="34" t="s">
        <v>103</v>
      </c>
      <c r="E12" s="34" t="s">
        <v>120</v>
      </c>
      <c r="F12" s="34" t="s">
        <v>121</v>
      </c>
      <c r="G12" s="35" t="s">
        <v>83</v>
      </c>
      <c r="H12" s="15" t="n">
        <v>5</v>
      </c>
      <c r="I12" s="34" t="s">
        <v>122</v>
      </c>
      <c r="J12" s="21"/>
      <c r="K12" s="36"/>
    </row>
    <row r="13" customFormat="false" ht="69.75" hidden="false" customHeight="true" outlineLevel="0" collapsed="false">
      <c r="A13" s="32" t="n">
        <v>9</v>
      </c>
      <c r="B13" s="33" t="s">
        <v>123</v>
      </c>
      <c r="C13" s="34" t="s">
        <v>124</v>
      </c>
      <c r="D13" s="34" t="s">
        <v>125</v>
      </c>
      <c r="E13" s="34" t="s">
        <v>126</v>
      </c>
      <c r="F13" s="34" t="s">
        <v>127</v>
      </c>
      <c r="G13" s="35" t="s">
        <v>83</v>
      </c>
      <c r="H13" s="15" t="n">
        <v>5</v>
      </c>
      <c r="I13" s="34" t="s">
        <v>128</v>
      </c>
      <c r="J13" s="21"/>
      <c r="K13" s="36"/>
    </row>
    <row r="14" customFormat="false" ht="69.75" hidden="false" customHeight="true" outlineLevel="0" collapsed="false">
      <c r="A14" s="32" t="n">
        <v>10</v>
      </c>
      <c r="B14" s="33" t="s">
        <v>129</v>
      </c>
      <c r="C14" s="34" t="s">
        <v>130</v>
      </c>
      <c r="D14" s="34" t="s">
        <v>103</v>
      </c>
      <c r="E14" s="34" t="s">
        <v>131</v>
      </c>
      <c r="F14" s="34" t="s">
        <v>132</v>
      </c>
      <c r="G14" s="35" t="s">
        <v>83</v>
      </c>
      <c r="H14" s="15" t="n">
        <v>3</v>
      </c>
      <c r="I14" s="34" t="s">
        <v>133</v>
      </c>
      <c r="J14" s="21"/>
      <c r="K14" s="36"/>
    </row>
    <row r="15" customFormat="false" ht="69.75" hidden="false" customHeight="true" outlineLevel="0" collapsed="false">
      <c r="A15" s="32" t="n">
        <v>11</v>
      </c>
      <c r="B15" s="33" t="s">
        <v>134</v>
      </c>
      <c r="C15" s="34" t="s">
        <v>135</v>
      </c>
      <c r="D15" s="34" t="s">
        <v>103</v>
      </c>
      <c r="E15" s="34" t="s">
        <v>136</v>
      </c>
      <c r="F15" s="34" t="s">
        <v>137</v>
      </c>
      <c r="G15" s="35" t="s">
        <v>83</v>
      </c>
      <c r="H15" s="15" t="n">
        <v>3</v>
      </c>
      <c r="I15" s="34" t="s">
        <v>138</v>
      </c>
      <c r="J15" s="21"/>
      <c r="K15" s="36"/>
    </row>
    <row r="16" customFormat="false" ht="69.75" hidden="false" customHeight="true" outlineLevel="0" collapsed="false">
      <c r="A16" s="32" t="n">
        <v>12</v>
      </c>
      <c r="B16" s="33" t="s">
        <v>139</v>
      </c>
      <c r="C16" s="34" t="s">
        <v>140</v>
      </c>
      <c r="D16" s="34" t="s">
        <v>103</v>
      </c>
      <c r="E16" s="34" t="s">
        <v>141</v>
      </c>
      <c r="F16" s="34" t="s">
        <v>142</v>
      </c>
      <c r="G16" s="35" t="s">
        <v>83</v>
      </c>
      <c r="H16" s="15" t="n">
        <v>3</v>
      </c>
      <c r="I16" s="34" t="s">
        <v>143</v>
      </c>
      <c r="J16" s="21"/>
      <c r="K16" s="36"/>
    </row>
    <row r="17" customFormat="false" ht="69.75" hidden="false" customHeight="true" outlineLevel="0" collapsed="false">
      <c r="A17" s="32" t="n">
        <v>13</v>
      </c>
      <c r="B17" s="33" t="s">
        <v>144</v>
      </c>
      <c r="C17" s="34" t="s">
        <v>145</v>
      </c>
      <c r="D17" s="34" t="s">
        <v>80</v>
      </c>
      <c r="E17" s="34" t="s">
        <v>146</v>
      </c>
      <c r="F17" s="34" t="s">
        <v>147</v>
      </c>
      <c r="G17" s="35" t="s">
        <v>83</v>
      </c>
      <c r="H17" s="15" t="n">
        <v>3</v>
      </c>
      <c r="I17" s="34" t="s">
        <v>148</v>
      </c>
      <c r="J17" s="21"/>
      <c r="K17" s="36"/>
    </row>
    <row r="19" customFormat="false" ht="15" hidden="false" customHeight="false" outlineLevel="0" collapsed="false">
      <c r="A19" s="23" t="s">
        <v>149</v>
      </c>
      <c r="B19" s="23"/>
      <c r="C19" s="23"/>
      <c r="D19" s="23"/>
    </row>
    <row r="20" customFormat="false" ht="17.35" hidden="false" customHeight="false" outlineLevel="0" collapsed="false">
      <c r="A20" s="6" t="s">
        <v>150</v>
      </c>
      <c r="B20" s="37" t="n">
        <f aca="false">COUNTIF(J5:J17,"Sí")</f>
        <v>0</v>
      </c>
    </row>
    <row r="21" customFormat="false" ht="17.35" hidden="false" customHeight="false" outlineLevel="0" collapsed="false">
      <c r="A21" s="6" t="s">
        <v>151</v>
      </c>
      <c r="B21" s="38" t="n">
        <f aca="false">COUNTIF(J5:J17,"Tal vez")</f>
        <v>0</v>
      </c>
    </row>
    <row r="22" customFormat="false" ht="17.35" hidden="false" customHeight="false" outlineLevel="0" collapsed="false">
      <c r="A22" s="29" t="s">
        <v>152</v>
      </c>
      <c r="B22" s="39" t="n">
        <f aca="false">COUNTIF(J5:J17,"Sí")+COUNTIF(J5:J17,"Tal vez")</f>
        <v>0</v>
      </c>
    </row>
  </sheetData>
  <mergeCells count="3">
    <mergeCell ref="A1:K1"/>
    <mergeCell ref="A2:K2"/>
    <mergeCell ref="A19:D19"/>
  </mergeCells>
  <dataValidations count="1">
    <dataValidation allowBlank="true" errorStyle="stop" operator="between" showDropDown="false" showErrorMessage="false" showInputMessage="false" sqref="J5:J17" type="list">
      <formula1>"Sí,No,Tal vez"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E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56"/>
    <col collapsed="false" customWidth="true" hidden="false" outlineLevel="0" max="3" min="3" style="0" width="22"/>
  </cols>
  <sheetData>
    <row r="1" customFormat="false" ht="27.75" hidden="false" customHeight="true" outlineLevel="0" collapsed="false">
      <c r="A1" s="31" t="s">
        <v>153</v>
      </c>
      <c r="B1" s="31"/>
      <c r="C1" s="31"/>
      <c r="D1" s="31"/>
      <c r="E1" s="31"/>
    </row>
    <row r="2" customFormat="false" ht="15" hidden="false" customHeight="false" outlineLevel="0" collapsed="false">
      <c r="A2" s="2" t="s">
        <v>154</v>
      </c>
      <c r="B2" s="2"/>
      <c r="C2" s="2"/>
      <c r="D2" s="2"/>
      <c r="E2" s="2"/>
    </row>
    <row r="4" customFormat="false" ht="15" hidden="false" customHeight="false" outlineLevel="0" collapsed="false">
      <c r="A4" s="29" t="s">
        <v>155</v>
      </c>
      <c r="B4" s="40" t="s">
        <v>156</v>
      </c>
      <c r="C4" s="40"/>
      <c r="D4" s="40"/>
      <c r="E4" s="40"/>
    </row>
    <row r="6" customFormat="false" ht="15" hidden="false" customHeight="false" outlineLevel="0" collapsed="false">
      <c r="A6" s="13" t="s">
        <v>67</v>
      </c>
      <c r="B6" s="13" t="s">
        <v>157</v>
      </c>
      <c r="C6" s="13" t="s">
        <v>158</v>
      </c>
    </row>
    <row r="8" customFormat="false" ht="15" hidden="false" customHeight="false" outlineLevel="0" collapsed="false">
      <c r="A8" s="41" t="s">
        <v>159</v>
      </c>
      <c r="B8" s="41"/>
      <c r="C8" s="41"/>
    </row>
    <row r="9" customFormat="false" ht="30" hidden="false" customHeight="true" outlineLevel="0" collapsed="false">
      <c r="A9" s="42" t="s">
        <v>160</v>
      </c>
      <c r="B9" s="10" t="s">
        <v>161</v>
      </c>
      <c r="C9" s="43"/>
    </row>
    <row r="10" customFormat="false" ht="30" hidden="false" customHeight="true" outlineLevel="0" collapsed="false">
      <c r="A10" s="42" t="s">
        <v>162</v>
      </c>
      <c r="B10" s="10" t="s">
        <v>163</v>
      </c>
      <c r="C10" s="43"/>
    </row>
    <row r="11" customFormat="false" ht="30" hidden="false" customHeight="true" outlineLevel="0" collapsed="false">
      <c r="A11" s="42" t="s">
        <v>164</v>
      </c>
      <c r="B11" s="10" t="s">
        <v>165</v>
      </c>
      <c r="C11" s="43"/>
    </row>
    <row r="12" customFormat="false" ht="30" hidden="false" customHeight="true" outlineLevel="0" collapsed="false">
      <c r="A12" s="42" t="s">
        <v>166</v>
      </c>
      <c r="B12" s="10" t="s">
        <v>167</v>
      </c>
      <c r="C12" s="43"/>
    </row>
    <row r="14" customFormat="false" ht="15" hidden="false" customHeight="false" outlineLevel="0" collapsed="false">
      <c r="A14" s="44" t="s">
        <v>168</v>
      </c>
      <c r="B14" s="44"/>
      <c r="C14" s="44"/>
    </row>
    <row r="15" customFormat="false" ht="30" hidden="false" customHeight="true" outlineLevel="0" collapsed="false">
      <c r="A15" s="45" t="s">
        <v>169</v>
      </c>
      <c r="B15" s="10" t="s">
        <v>170</v>
      </c>
      <c r="C15" s="43"/>
    </row>
    <row r="16" customFormat="false" ht="30" hidden="false" customHeight="true" outlineLevel="0" collapsed="false">
      <c r="A16" s="45" t="s">
        <v>171</v>
      </c>
      <c r="B16" s="10" t="s">
        <v>172</v>
      </c>
      <c r="C16" s="43"/>
    </row>
    <row r="17" customFormat="false" ht="30" hidden="false" customHeight="true" outlineLevel="0" collapsed="false">
      <c r="A17" s="45" t="s">
        <v>173</v>
      </c>
      <c r="B17" s="10" t="s">
        <v>174</v>
      </c>
      <c r="C17" s="43"/>
    </row>
    <row r="18" customFormat="false" ht="30" hidden="false" customHeight="true" outlineLevel="0" collapsed="false">
      <c r="A18" s="45" t="s">
        <v>175</v>
      </c>
      <c r="B18" s="10" t="s">
        <v>176</v>
      </c>
      <c r="C18" s="43"/>
    </row>
    <row r="20" customFormat="false" ht="15" hidden="false" customHeight="false" outlineLevel="0" collapsed="false">
      <c r="A20" s="44" t="s">
        <v>177</v>
      </c>
      <c r="B20" s="44"/>
      <c r="C20" s="44"/>
    </row>
    <row r="21" customFormat="false" ht="30" hidden="false" customHeight="true" outlineLevel="0" collapsed="false">
      <c r="A21" s="45" t="s">
        <v>178</v>
      </c>
      <c r="B21" s="10" t="s">
        <v>179</v>
      </c>
      <c r="C21" s="43"/>
    </row>
    <row r="22" customFormat="false" ht="30" hidden="false" customHeight="true" outlineLevel="0" collapsed="false">
      <c r="A22" s="45" t="s">
        <v>180</v>
      </c>
      <c r="B22" s="10" t="s">
        <v>181</v>
      </c>
      <c r="C22" s="43"/>
    </row>
    <row r="23" customFormat="false" ht="30" hidden="false" customHeight="true" outlineLevel="0" collapsed="false">
      <c r="A23" s="45" t="s">
        <v>182</v>
      </c>
      <c r="B23" s="10" t="s">
        <v>183</v>
      </c>
      <c r="C23" s="43"/>
    </row>
    <row r="24" customFormat="false" ht="30" hidden="false" customHeight="true" outlineLevel="0" collapsed="false">
      <c r="A24" s="45" t="s">
        <v>184</v>
      </c>
      <c r="B24" s="10" t="s">
        <v>185</v>
      </c>
      <c r="C24" s="43"/>
    </row>
    <row r="26" customFormat="false" ht="15" hidden="false" customHeight="false" outlineLevel="0" collapsed="false">
      <c r="A26" s="44" t="s">
        <v>186</v>
      </c>
      <c r="B26" s="44"/>
      <c r="C26" s="44"/>
    </row>
    <row r="27" customFormat="false" ht="30" hidden="false" customHeight="true" outlineLevel="0" collapsed="false">
      <c r="A27" s="45" t="s">
        <v>187</v>
      </c>
      <c r="B27" s="10" t="s">
        <v>188</v>
      </c>
      <c r="C27" s="43"/>
    </row>
    <row r="28" customFormat="false" ht="30" hidden="false" customHeight="true" outlineLevel="0" collapsed="false">
      <c r="A28" s="45" t="s">
        <v>189</v>
      </c>
      <c r="B28" s="10" t="s">
        <v>190</v>
      </c>
      <c r="C28" s="43"/>
    </row>
    <row r="29" customFormat="false" ht="30" hidden="false" customHeight="true" outlineLevel="0" collapsed="false">
      <c r="A29" s="45" t="s">
        <v>191</v>
      </c>
      <c r="B29" s="10" t="s">
        <v>192</v>
      </c>
      <c r="C29" s="43"/>
    </row>
    <row r="30" customFormat="false" ht="30" hidden="false" customHeight="true" outlineLevel="0" collapsed="false">
      <c r="A30" s="45" t="s">
        <v>193</v>
      </c>
      <c r="B30" s="10" t="s">
        <v>194</v>
      </c>
      <c r="C30" s="43"/>
    </row>
    <row r="33" customFormat="false" ht="16.15" hidden="false" customHeight="false" outlineLevel="0" collapsed="false">
      <c r="A33" s="8" t="s">
        <v>195</v>
      </c>
      <c r="B33" s="8"/>
      <c r="C33" s="8"/>
    </row>
    <row r="34" customFormat="false" ht="19.7" hidden="false" customHeight="false" outlineLevel="0" collapsed="false">
      <c r="A34" s="46" t="s">
        <v>196</v>
      </c>
      <c r="B34" s="47" t="n">
        <f aca="false">IFERROR(AVERAGE(C9:C12),0)</f>
        <v>0</v>
      </c>
      <c r="C34" s="48" t="str">
        <f aca="false">IF(B34=0,"Sin datos",IF(B34&gt;=3.5,"Pain ALTO",IF(B34&gt;=2.5,"Pain MEDIO","Pain BAJO")))</f>
        <v>Sin datos</v>
      </c>
    </row>
    <row r="35" customFormat="false" ht="19.7" hidden="false" customHeight="false" outlineLevel="0" collapsed="false">
      <c r="A35" s="46" t="s">
        <v>197</v>
      </c>
      <c r="B35" s="49" t="n">
        <f aca="false">IFERROR(AVERAGE(C15:C18,C21:C24,C27:C30),0)</f>
        <v>0</v>
      </c>
      <c r="C35" s="48" t="str">
        <f aca="false">IF(B35=0,"Sin datos",IF(B35&gt;=3.5,"Readiness ALTA",IF(B35&gt;=2.5,"Readiness MEDIA","Readiness BAJA")))</f>
        <v>Sin datos</v>
      </c>
    </row>
    <row r="37" customFormat="false" ht="31.5" hidden="false" customHeight="true" outlineLevel="0" collapsed="false">
      <c r="A37" s="50" t="s">
        <v>198</v>
      </c>
      <c r="B37" s="51" t="str">
        <f aca="false">IF(OR(B34=0,B35=0),"Completa primero el cuestionario",IF(AND(B34&gt;=3.5,B35&gt;=3.5),"QUICK WIN PRIORITARIO — Avanzar ahora",IF(AND(B34&gt;=3.5,B35&lt;3.5),"INVERTIR EN HABILITADORES — Pain alto pero falta readiness",IF(AND(B34&lt;3.5,B35&gt;=3.5),"OPORTUNIDAD SIN URGENCIA — Capacidad sí, pain no","AÚN NO ES MOMENTO — Construir capacidad antes"))))</f>
        <v>Completa primero el cuestionario</v>
      </c>
      <c r="C37" s="51"/>
    </row>
    <row r="40" customFormat="false" ht="16.15" hidden="false" customHeight="false" outlineLevel="0" collapsed="false">
      <c r="A40" s="8" t="s">
        <v>199</v>
      </c>
      <c r="B40" s="8"/>
      <c r="C40" s="8"/>
    </row>
    <row r="41" customFormat="false" ht="26.85" hidden="false" customHeight="false" outlineLevel="0" collapsed="false">
      <c r="B41" s="13" t="s">
        <v>200</v>
      </c>
      <c r="C41" s="13" t="s">
        <v>201</v>
      </c>
    </row>
    <row r="42" customFormat="false" ht="30" hidden="false" customHeight="true" outlineLevel="0" collapsed="false">
      <c r="A42" s="13" t="s">
        <v>202</v>
      </c>
      <c r="B42" s="52" t="s">
        <v>203</v>
      </c>
      <c r="C42" s="53" t="s">
        <v>204</v>
      </c>
    </row>
    <row r="43" customFormat="false" ht="30" hidden="false" customHeight="true" outlineLevel="0" collapsed="false">
      <c r="A43" s="13" t="s">
        <v>205</v>
      </c>
      <c r="B43" s="54" t="s">
        <v>206</v>
      </c>
      <c r="C43" s="55" t="s">
        <v>207</v>
      </c>
    </row>
  </sheetData>
  <mergeCells count="10">
    <mergeCell ref="A1:E1"/>
    <mergeCell ref="A2:E2"/>
    <mergeCell ref="B4:E4"/>
    <mergeCell ref="A8:C8"/>
    <mergeCell ref="A14:C14"/>
    <mergeCell ref="A20:C20"/>
    <mergeCell ref="A26:C26"/>
    <mergeCell ref="A33:C33"/>
    <mergeCell ref="B37:C37"/>
    <mergeCell ref="A40:C40"/>
  </mergeCells>
  <dataValidations count="1">
    <dataValidation allowBlank="true" error="Ingresa un valor entre 1 y 5" errorStyle="stop" errorTitle="Valor inválido" operator="between" showDropDown="false" showErrorMessage="false" showInputMessage="false" sqref="C9:C12 C15:C18 C21:C24 C27:C30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7280"/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0" width="30"/>
  </cols>
  <sheetData>
    <row r="1" customFormat="false" ht="27.75" hidden="false" customHeight="true" outlineLevel="0" collapsed="false">
      <c r="A1" s="31" t="s">
        <v>208</v>
      </c>
      <c r="B1" s="31"/>
      <c r="C1" s="31"/>
      <c r="D1" s="31"/>
    </row>
    <row r="2" customFormat="false" ht="15" hidden="false" customHeight="false" outlineLevel="0" collapsed="false">
      <c r="A2" s="2" t="s">
        <v>209</v>
      </c>
      <c r="B2" s="2"/>
      <c r="C2" s="2"/>
      <c r="D2" s="2"/>
    </row>
    <row r="4" customFormat="false" ht="15" hidden="false" customHeight="true" outlineLevel="0" collapsed="false">
      <c r="A4" s="56" t="s">
        <v>210</v>
      </c>
      <c r="B4" s="56"/>
      <c r="C4" s="56"/>
      <c r="D4" s="56"/>
    </row>
    <row r="5" customFormat="false" ht="15" hidden="false" customHeight="true" outlineLevel="0" collapsed="false">
      <c r="A5" s="57" t="s">
        <v>211</v>
      </c>
      <c r="B5" s="57"/>
      <c r="C5" s="57"/>
      <c r="D5" s="57"/>
    </row>
    <row r="6" customFormat="false" ht="37.5" hidden="false" customHeight="true" outlineLevel="0" collapsed="false">
      <c r="A6" s="58" t="s">
        <v>212</v>
      </c>
      <c r="B6" s="58"/>
      <c r="C6" s="58"/>
      <c r="D6" s="58"/>
    </row>
    <row r="7" customFormat="false" ht="15" hidden="false" customHeight="true" outlineLevel="0" collapsed="false">
      <c r="A7" s="56" t="s">
        <v>213</v>
      </c>
      <c r="B7" s="56"/>
      <c r="C7" s="56"/>
      <c r="D7" s="56"/>
    </row>
    <row r="8" customFormat="false" ht="15" hidden="false" customHeight="true" outlineLevel="0" collapsed="false">
      <c r="A8" s="57" t="s">
        <v>214</v>
      </c>
      <c r="B8" s="57"/>
      <c r="C8" s="57"/>
      <c r="D8" s="57"/>
    </row>
    <row r="9" customFormat="false" ht="37.5" hidden="false" customHeight="true" outlineLevel="0" collapsed="false">
      <c r="A9" s="58" t="s">
        <v>215</v>
      </c>
      <c r="B9" s="58"/>
      <c r="C9" s="58"/>
      <c r="D9" s="58"/>
    </row>
    <row r="10" customFormat="false" ht="15" hidden="false" customHeight="true" outlineLevel="0" collapsed="false">
      <c r="A10" s="56" t="s">
        <v>216</v>
      </c>
      <c r="B10" s="56"/>
      <c r="C10" s="56"/>
      <c r="D10" s="56"/>
    </row>
    <row r="11" customFormat="false" ht="15" hidden="false" customHeight="true" outlineLevel="0" collapsed="false">
      <c r="A11" s="57" t="s">
        <v>217</v>
      </c>
      <c r="B11" s="57"/>
      <c r="C11" s="57"/>
      <c r="D11" s="57"/>
    </row>
    <row r="12" customFormat="false" ht="37.5" hidden="false" customHeight="true" outlineLevel="0" collapsed="false">
      <c r="A12" s="58" t="s">
        <v>218</v>
      </c>
      <c r="B12" s="58"/>
      <c r="C12" s="58"/>
      <c r="D12" s="58"/>
    </row>
    <row r="13" customFormat="false" ht="15" hidden="false" customHeight="true" outlineLevel="0" collapsed="false">
      <c r="A13" s="56" t="s">
        <v>219</v>
      </c>
      <c r="B13" s="56"/>
      <c r="C13" s="56"/>
      <c r="D13" s="56"/>
    </row>
    <row r="14" customFormat="false" ht="15" hidden="false" customHeight="true" outlineLevel="0" collapsed="false">
      <c r="A14" s="57" t="s">
        <v>220</v>
      </c>
      <c r="B14" s="57"/>
      <c r="C14" s="57"/>
      <c r="D14" s="57"/>
    </row>
    <row r="15" customFormat="false" ht="37.5" hidden="false" customHeight="true" outlineLevel="0" collapsed="false">
      <c r="A15" s="58" t="s">
        <v>221</v>
      </c>
      <c r="B15" s="58"/>
      <c r="C15" s="58"/>
      <c r="D15" s="58"/>
    </row>
    <row r="16" customFormat="false" ht="15" hidden="false" customHeight="true" outlineLevel="0" collapsed="false">
      <c r="A16" s="56" t="s">
        <v>222</v>
      </c>
      <c r="B16" s="56"/>
      <c r="C16" s="56"/>
      <c r="D16" s="56"/>
    </row>
    <row r="17" customFormat="false" ht="15" hidden="false" customHeight="true" outlineLevel="0" collapsed="false">
      <c r="A17" s="57" t="s">
        <v>223</v>
      </c>
      <c r="B17" s="57"/>
      <c r="C17" s="57"/>
      <c r="D17" s="57"/>
    </row>
    <row r="18" customFormat="false" ht="37.5" hidden="false" customHeight="true" outlineLevel="0" collapsed="false">
      <c r="A18" s="58" t="s">
        <v>224</v>
      </c>
      <c r="B18" s="58"/>
      <c r="C18" s="58"/>
      <c r="D18" s="58"/>
    </row>
    <row r="19" customFormat="false" ht="15" hidden="false" customHeight="true" outlineLevel="0" collapsed="false">
      <c r="A19" s="56" t="s">
        <v>225</v>
      </c>
      <c r="B19" s="56"/>
      <c r="C19" s="56"/>
      <c r="D19" s="56"/>
    </row>
    <row r="20" customFormat="false" ht="15" hidden="false" customHeight="true" outlineLevel="0" collapsed="false">
      <c r="A20" s="57" t="s">
        <v>226</v>
      </c>
      <c r="B20" s="57"/>
      <c r="C20" s="57"/>
      <c r="D20" s="57"/>
    </row>
    <row r="21" customFormat="false" ht="37.5" hidden="false" customHeight="true" outlineLevel="0" collapsed="false">
      <c r="A21" s="58" t="s">
        <v>227</v>
      </c>
      <c r="B21" s="58"/>
      <c r="C21" s="58"/>
      <c r="D21" s="58"/>
    </row>
    <row r="22" customFormat="false" ht="15" hidden="false" customHeight="true" outlineLevel="0" collapsed="false">
      <c r="A22" s="56" t="s">
        <v>228</v>
      </c>
      <c r="B22" s="56"/>
      <c r="C22" s="56"/>
      <c r="D22" s="56"/>
    </row>
    <row r="23" customFormat="false" ht="15" hidden="false" customHeight="true" outlineLevel="0" collapsed="false">
      <c r="A23" s="57" t="s">
        <v>229</v>
      </c>
      <c r="B23" s="57"/>
      <c r="C23" s="57"/>
      <c r="D23" s="57"/>
    </row>
    <row r="24" customFormat="false" ht="37.5" hidden="false" customHeight="true" outlineLevel="0" collapsed="false">
      <c r="A24" s="58" t="s">
        <v>230</v>
      </c>
      <c r="B24" s="58"/>
      <c r="C24" s="58"/>
      <c r="D24" s="58"/>
    </row>
    <row r="25" customFormat="false" ht="15" hidden="false" customHeight="true" outlineLevel="0" collapsed="false">
      <c r="A25" s="56" t="s">
        <v>231</v>
      </c>
      <c r="B25" s="56"/>
      <c r="C25" s="56"/>
      <c r="D25" s="56"/>
    </row>
    <row r="26" customFormat="false" ht="15" hidden="false" customHeight="true" outlineLevel="0" collapsed="false">
      <c r="A26" s="57" t="s">
        <v>232</v>
      </c>
      <c r="B26" s="57"/>
      <c r="C26" s="57"/>
      <c r="D26" s="57"/>
    </row>
    <row r="27" customFormat="false" ht="37.5" hidden="false" customHeight="true" outlineLevel="0" collapsed="false">
      <c r="A27" s="58" t="s">
        <v>233</v>
      </c>
      <c r="B27" s="58"/>
      <c r="C27" s="58"/>
      <c r="D27" s="58"/>
    </row>
    <row r="28" customFormat="false" ht="15" hidden="false" customHeight="true" outlineLevel="0" collapsed="false">
      <c r="A28" s="56" t="s">
        <v>234</v>
      </c>
      <c r="B28" s="56"/>
      <c r="C28" s="56"/>
      <c r="D28" s="56"/>
    </row>
    <row r="29" customFormat="false" ht="15" hidden="false" customHeight="true" outlineLevel="0" collapsed="false">
      <c r="A29" s="57" t="s">
        <v>235</v>
      </c>
      <c r="B29" s="57"/>
      <c r="C29" s="57"/>
      <c r="D29" s="57"/>
    </row>
    <row r="30" customFormat="false" ht="37.5" hidden="false" customHeight="true" outlineLevel="0" collapsed="false">
      <c r="A30" s="58" t="s">
        <v>236</v>
      </c>
      <c r="B30" s="58"/>
      <c r="C30" s="58"/>
      <c r="D30" s="58"/>
    </row>
    <row r="31" customFormat="false" ht="15" hidden="false" customHeight="true" outlineLevel="0" collapsed="false">
      <c r="A31" s="56" t="s">
        <v>237</v>
      </c>
      <c r="B31" s="56"/>
      <c r="C31" s="56"/>
      <c r="D31" s="56"/>
    </row>
    <row r="32" customFormat="false" ht="15" hidden="false" customHeight="true" outlineLevel="0" collapsed="false">
      <c r="A32" s="57" t="s">
        <v>238</v>
      </c>
      <c r="B32" s="57"/>
      <c r="C32" s="57"/>
      <c r="D32" s="57"/>
    </row>
    <row r="33" customFormat="false" ht="37.5" hidden="false" customHeight="true" outlineLevel="0" collapsed="false">
      <c r="A33" s="58" t="s">
        <v>239</v>
      </c>
      <c r="B33" s="58"/>
      <c r="C33" s="58"/>
      <c r="D33" s="58"/>
    </row>
    <row r="36" customFormat="false" ht="16.15" hidden="false" customHeight="false" outlineLevel="0" collapsed="false">
      <c r="A36" s="8" t="s">
        <v>240</v>
      </c>
      <c r="B36" s="8"/>
      <c r="C36" s="8"/>
      <c r="D36" s="8"/>
    </row>
    <row r="37" customFormat="false" ht="49.5" hidden="false" customHeight="true" outlineLevel="0" collapsed="false">
      <c r="A37" s="59" t="s">
        <v>241</v>
      </c>
      <c r="B37" s="59"/>
      <c r="C37" s="59"/>
      <c r="D37" s="59"/>
    </row>
  </sheetData>
  <mergeCells count="34">
    <mergeCell ref="A1:D1"/>
    <mergeCell ref="A2:D2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6:D36"/>
    <mergeCell ref="A37:D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7280"/>
    <pageSetUpPr fitToPage="false"/>
  </sheetPr>
  <dimension ref="A1:V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7" min="5" style="0" width="22"/>
    <col collapsed="false" customWidth="true" hidden="false" outlineLevel="0" max="8" min="8" style="0" width="18"/>
    <col collapsed="false" customWidth="true" hidden="false" outlineLevel="0" max="10" min="9" style="0" width="22"/>
    <col collapsed="false" customWidth="true" hidden="false" outlineLevel="0" max="11" min="11" style="0" width="24"/>
    <col collapsed="false" customWidth="true" hidden="false" outlineLevel="0" max="12" min="12" style="0" width="28"/>
    <col collapsed="false" customWidth="true" hidden="false" outlineLevel="0" max="13" min="13" style="0" width="22"/>
    <col collapsed="false" customWidth="true" hidden="false" outlineLevel="0" max="19" min="14" style="0" width="16"/>
    <col collapsed="false" customWidth="true" hidden="false" outlineLevel="0" max="21" min="20" style="0" width="22"/>
    <col collapsed="false" customWidth="true" hidden="false" outlineLevel="0" max="22" min="22" style="0" width="36"/>
  </cols>
  <sheetData>
    <row r="1" customFormat="false" ht="19.7" hidden="false" customHeight="false" outlineLevel="0" collapsed="false">
      <c r="A1" s="60" t="s">
        <v>242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</row>
    <row r="2" customFormat="false" ht="15" hidden="false" customHeight="false" outlineLevel="0" collapsed="false">
      <c r="A2" s="20" t="s">
        <v>243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</row>
    <row r="4" customFormat="false" ht="60" hidden="false" customHeight="true" outlineLevel="0" collapsed="false">
      <c r="A4" s="61" t="s">
        <v>244</v>
      </c>
      <c r="B4" s="61" t="s">
        <v>245</v>
      </c>
      <c r="C4" s="61" t="s">
        <v>246</v>
      </c>
      <c r="D4" s="61" t="s">
        <v>247</v>
      </c>
      <c r="E4" s="61" t="s">
        <v>248</v>
      </c>
      <c r="F4" s="61" t="s">
        <v>249</v>
      </c>
      <c r="G4" s="61" t="s">
        <v>250</v>
      </c>
      <c r="H4" s="61" t="s">
        <v>251</v>
      </c>
      <c r="I4" s="61" t="s">
        <v>252</v>
      </c>
      <c r="J4" s="61" t="s">
        <v>253</v>
      </c>
      <c r="K4" s="61" t="s">
        <v>254</v>
      </c>
      <c r="L4" s="61" t="s">
        <v>255</v>
      </c>
      <c r="M4" s="61" t="s">
        <v>256</v>
      </c>
      <c r="N4" s="61" t="s">
        <v>257</v>
      </c>
      <c r="O4" s="61" t="s">
        <v>258</v>
      </c>
      <c r="P4" s="61" t="s">
        <v>259</v>
      </c>
      <c r="Q4" s="61" t="s">
        <v>260</v>
      </c>
      <c r="R4" s="61" t="s">
        <v>261</v>
      </c>
      <c r="S4" s="61" t="s">
        <v>262</v>
      </c>
      <c r="T4" s="61" t="s">
        <v>263</v>
      </c>
      <c r="U4" s="61" t="s">
        <v>264</v>
      </c>
      <c r="V4" s="61" t="s">
        <v>265</v>
      </c>
    </row>
    <row r="5" customFormat="false" ht="79.5" hidden="false" customHeight="true" outlineLevel="0" collapsed="false">
      <c r="A5" s="62" t="s">
        <v>3</v>
      </c>
      <c r="B5" s="63" t="s">
        <v>266</v>
      </c>
      <c r="C5" s="63" t="s">
        <v>267</v>
      </c>
      <c r="D5" s="63" t="s">
        <v>268</v>
      </c>
      <c r="E5" s="63" t="s">
        <v>269</v>
      </c>
      <c r="F5" s="63" t="s">
        <v>270</v>
      </c>
      <c r="G5" s="63" t="s">
        <v>271</v>
      </c>
      <c r="H5" s="63" t="s">
        <v>272</v>
      </c>
      <c r="I5" s="63" t="s">
        <v>273</v>
      </c>
      <c r="J5" s="63" t="s">
        <v>274</v>
      </c>
      <c r="K5" s="63" t="s">
        <v>275</v>
      </c>
      <c r="L5" s="63" t="s">
        <v>276</v>
      </c>
      <c r="M5" s="63" t="s">
        <v>277</v>
      </c>
      <c r="N5" s="63" t="s">
        <v>278</v>
      </c>
      <c r="O5" s="63" t="s">
        <v>279</v>
      </c>
      <c r="P5" s="63" t="s">
        <v>279</v>
      </c>
      <c r="Q5" s="63" t="s">
        <v>279</v>
      </c>
      <c r="R5" s="63" t="s">
        <v>280</v>
      </c>
      <c r="S5" s="63" t="s">
        <v>280</v>
      </c>
      <c r="T5" s="63" t="s">
        <v>281</v>
      </c>
      <c r="U5" s="63" t="s">
        <v>282</v>
      </c>
      <c r="V5" s="63" t="s">
        <v>283</v>
      </c>
    </row>
    <row r="6" customFormat="false" ht="79.5" hidden="false" customHeight="true" outlineLevel="0" collapsed="false">
      <c r="A6" s="62" t="s">
        <v>284</v>
      </c>
      <c r="B6" s="63" t="s">
        <v>266</v>
      </c>
      <c r="C6" s="63" t="s">
        <v>285</v>
      </c>
      <c r="D6" s="63" t="s">
        <v>286</v>
      </c>
      <c r="E6" s="63" t="s">
        <v>287</v>
      </c>
      <c r="F6" s="63" t="s">
        <v>288</v>
      </c>
      <c r="G6" s="63" t="s">
        <v>289</v>
      </c>
      <c r="H6" s="63" t="s">
        <v>290</v>
      </c>
      <c r="I6" s="63" t="s">
        <v>291</v>
      </c>
      <c r="J6" s="63" t="s">
        <v>292</v>
      </c>
      <c r="K6" s="63" t="s">
        <v>293</v>
      </c>
      <c r="L6" s="63" t="s">
        <v>294</v>
      </c>
      <c r="M6" s="63" t="s">
        <v>295</v>
      </c>
      <c r="N6" s="63" t="s">
        <v>278</v>
      </c>
      <c r="O6" s="63" t="s">
        <v>279</v>
      </c>
      <c r="P6" s="63" t="s">
        <v>279</v>
      </c>
      <c r="Q6" s="63" t="s">
        <v>279</v>
      </c>
      <c r="R6" s="63" t="s">
        <v>280</v>
      </c>
      <c r="S6" s="63" t="s">
        <v>280</v>
      </c>
      <c r="T6" s="63" t="s">
        <v>296</v>
      </c>
      <c r="U6" s="63" t="s">
        <v>297</v>
      </c>
      <c r="V6" s="63" t="s">
        <v>298</v>
      </c>
    </row>
    <row r="7" customFormat="false" ht="79.5" hidden="false" customHeight="true" outlineLevel="0" collapsed="false">
      <c r="A7" s="62" t="s">
        <v>299</v>
      </c>
      <c r="B7" s="63" t="s">
        <v>266</v>
      </c>
      <c r="C7" s="63" t="s">
        <v>300</v>
      </c>
      <c r="D7" s="63" t="s">
        <v>301</v>
      </c>
      <c r="E7" s="63" t="s">
        <v>302</v>
      </c>
      <c r="F7" s="63" t="s">
        <v>303</v>
      </c>
      <c r="G7" s="63" t="s">
        <v>295</v>
      </c>
      <c r="H7" s="63" t="s">
        <v>272</v>
      </c>
      <c r="I7" s="63" t="s">
        <v>304</v>
      </c>
      <c r="J7" s="63" t="s">
        <v>305</v>
      </c>
      <c r="K7" s="63" t="s">
        <v>306</v>
      </c>
      <c r="L7" s="63" t="s">
        <v>307</v>
      </c>
      <c r="M7" s="63" t="s">
        <v>295</v>
      </c>
      <c r="N7" s="63" t="s">
        <v>308</v>
      </c>
      <c r="O7" s="63" t="s">
        <v>279</v>
      </c>
      <c r="P7" s="63" t="s">
        <v>279</v>
      </c>
      <c r="Q7" s="63" t="s">
        <v>279</v>
      </c>
      <c r="R7" s="63" t="s">
        <v>280</v>
      </c>
      <c r="S7" s="63" t="s">
        <v>280</v>
      </c>
      <c r="T7" s="63" t="s">
        <v>309</v>
      </c>
      <c r="U7" s="63" t="s">
        <v>310</v>
      </c>
      <c r="V7" s="63" t="s">
        <v>311</v>
      </c>
    </row>
    <row r="8" customFormat="false" ht="79.5" hidden="false" customHeight="true" outlineLevel="0" collapsed="false">
      <c r="A8" s="62" t="s">
        <v>312</v>
      </c>
      <c r="B8" s="63" t="s">
        <v>266</v>
      </c>
      <c r="C8" s="63" t="s">
        <v>313</v>
      </c>
      <c r="D8" s="63" t="s">
        <v>314</v>
      </c>
      <c r="E8" s="63" t="s">
        <v>315</v>
      </c>
      <c r="F8" s="63" t="s">
        <v>316</v>
      </c>
      <c r="G8" s="63" t="s">
        <v>317</v>
      </c>
      <c r="H8" s="63" t="s">
        <v>295</v>
      </c>
      <c r="I8" s="63" t="s">
        <v>318</v>
      </c>
      <c r="J8" s="63" t="s">
        <v>319</v>
      </c>
      <c r="K8" s="63" t="s">
        <v>320</v>
      </c>
      <c r="L8" s="63" t="s">
        <v>321</v>
      </c>
      <c r="M8" s="63" t="s">
        <v>295</v>
      </c>
      <c r="N8" s="63" t="s">
        <v>322</v>
      </c>
      <c r="O8" s="63" t="s">
        <v>279</v>
      </c>
      <c r="P8" s="63" t="s">
        <v>279</v>
      </c>
      <c r="Q8" s="63" t="s">
        <v>279</v>
      </c>
      <c r="R8" s="63" t="s">
        <v>280</v>
      </c>
      <c r="S8" s="63" t="s">
        <v>280</v>
      </c>
      <c r="T8" s="63" t="s">
        <v>323</v>
      </c>
      <c r="U8" s="63" t="s">
        <v>324</v>
      </c>
      <c r="V8" s="63" t="s">
        <v>325</v>
      </c>
    </row>
    <row r="9" customFormat="false" ht="79.5" hidden="false" customHeight="true" outlineLevel="0" collapsed="false">
      <c r="A9" s="62" t="s">
        <v>326</v>
      </c>
      <c r="B9" s="63" t="s">
        <v>266</v>
      </c>
      <c r="C9" s="63" t="s">
        <v>327</v>
      </c>
      <c r="D9" s="63" t="s">
        <v>328</v>
      </c>
      <c r="E9" s="63" t="s">
        <v>329</v>
      </c>
      <c r="F9" s="63" t="s">
        <v>330</v>
      </c>
      <c r="G9" s="63" t="s">
        <v>295</v>
      </c>
      <c r="H9" s="63" t="s">
        <v>295</v>
      </c>
      <c r="I9" s="63" t="s">
        <v>331</v>
      </c>
      <c r="J9" s="63" t="s">
        <v>279</v>
      </c>
      <c r="K9" s="63" t="s">
        <v>275</v>
      </c>
      <c r="L9" s="63" t="s">
        <v>332</v>
      </c>
      <c r="M9" s="63" t="s">
        <v>295</v>
      </c>
      <c r="N9" s="63" t="s">
        <v>278</v>
      </c>
      <c r="O9" s="63" t="s">
        <v>279</v>
      </c>
      <c r="P9" s="63" t="s">
        <v>279</v>
      </c>
      <c r="Q9" s="63" t="s">
        <v>279</v>
      </c>
      <c r="R9" s="63" t="s">
        <v>280</v>
      </c>
      <c r="S9" s="63" t="s">
        <v>280</v>
      </c>
      <c r="T9" s="63" t="s">
        <v>333</v>
      </c>
      <c r="U9" s="63" t="s">
        <v>334</v>
      </c>
      <c r="V9" s="63" t="s">
        <v>335</v>
      </c>
    </row>
    <row r="10" customFormat="false" ht="79.5" hidden="false" customHeight="true" outlineLevel="0" collapsed="false">
      <c r="A10" s="62" t="s">
        <v>336</v>
      </c>
      <c r="B10" s="63" t="s">
        <v>266</v>
      </c>
      <c r="C10" s="63" t="s">
        <v>337</v>
      </c>
      <c r="D10" s="63" t="s">
        <v>338</v>
      </c>
      <c r="E10" s="63" t="s">
        <v>339</v>
      </c>
      <c r="F10" s="63" t="s">
        <v>340</v>
      </c>
      <c r="G10" s="63" t="s">
        <v>295</v>
      </c>
      <c r="H10" s="63" t="s">
        <v>272</v>
      </c>
      <c r="I10" s="63" t="s">
        <v>341</v>
      </c>
      <c r="J10" s="63" t="s">
        <v>305</v>
      </c>
      <c r="K10" s="63" t="s">
        <v>275</v>
      </c>
      <c r="L10" s="63" t="s">
        <v>342</v>
      </c>
      <c r="M10" s="63" t="s">
        <v>295</v>
      </c>
      <c r="N10" s="63" t="s">
        <v>279</v>
      </c>
      <c r="O10" s="63" t="s">
        <v>279</v>
      </c>
      <c r="P10" s="63" t="s">
        <v>279</v>
      </c>
      <c r="Q10" s="63" t="s">
        <v>279</v>
      </c>
      <c r="R10" s="63" t="s">
        <v>280</v>
      </c>
      <c r="S10" s="63" t="s">
        <v>280</v>
      </c>
      <c r="T10" s="63" t="s">
        <v>343</v>
      </c>
      <c r="U10" s="63" t="s">
        <v>344</v>
      </c>
      <c r="V10" s="63" t="s">
        <v>345</v>
      </c>
    </row>
    <row r="11" customFormat="false" ht="79.5" hidden="false" customHeight="true" outlineLevel="0" collapsed="false">
      <c r="A11" s="62" t="s">
        <v>346</v>
      </c>
      <c r="B11" s="63" t="s">
        <v>266</v>
      </c>
      <c r="C11" s="63" t="s">
        <v>347</v>
      </c>
      <c r="D11" s="63" t="s">
        <v>348</v>
      </c>
      <c r="E11" s="63" t="s">
        <v>349</v>
      </c>
      <c r="F11" s="63" t="s">
        <v>350</v>
      </c>
      <c r="G11" s="63" t="s">
        <v>295</v>
      </c>
      <c r="H11" s="63" t="s">
        <v>295</v>
      </c>
      <c r="I11" s="63" t="s">
        <v>351</v>
      </c>
      <c r="J11" s="63" t="s">
        <v>319</v>
      </c>
      <c r="K11" s="63" t="s">
        <v>320</v>
      </c>
      <c r="L11" s="63" t="s">
        <v>352</v>
      </c>
      <c r="M11" s="63" t="s">
        <v>295</v>
      </c>
      <c r="N11" s="63" t="s">
        <v>278</v>
      </c>
      <c r="O11" s="63" t="s">
        <v>279</v>
      </c>
      <c r="P11" s="63" t="s">
        <v>279</v>
      </c>
      <c r="Q11" s="63" t="s">
        <v>279</v>
      </c>
      <c r="R11" s="63" t="s">
        <v>280</v>
      </c>
      <c r="S11" s="63" t="s">
        <v>280</v>
      </c>
      <c r="T11" s="63" t="s">
        <v>343</v>
      </c>
      <c r="U11" s="63" t="s">
        <v>353</v>
      </c>
      <c r="V11" s="63" t="s">
        <v>354</v>
      </c>
    </row>
    <row r="12" customFormat="false" ht="79.5" hidden="false" customHeight="true" outlineLevel="0" collapsed="false">
      <c r="A12" s="62" t="s">
        <v>355</v>
      </c>
      <c r="B12" s="63" t="s">
        <v>266</v>
      </c>
      <c r="C12" s="63" t="s">
        <v>356</v>
      </c>
      <c r="D12" s="63" t="s">
        <v>357</v>
      </c>
      <c r="E12" s="63" t="s">
        <v>358</v>
      </c>
      <c r="F12" s="63" t="s">
        <v>359</v>
      </c>
      <c r="G12" s="63" t="s">
        <v>295</v>
      </c>
      <c r="H12" s="63" t="s">
        <v>295</v>
      </c>
      <c r="I12" s="63" t="s">
        <v>295</v>
      </c>
      <c r="J12" s="63" t="s">
        <v>279</v>
      </c>
      <c r="K12" s="63" t="s">
        <v>360</v>
      </c>
      <c r="L12" s="63" t="s">
        <v>361</v>
      </c>
      <c r="M12" s="63" t="s">
        <v>295</v>
      </c>
      <c r="N12" s="63" t="s">
        <v>279</v>
      </c>
      <c r="O12" s="63" t="s">
        <v>279</v>
      </c>
      <c r="P12" s="63" t="s">
        <v>279</v>
      </c>
      <c r="Q12" s="63" t="s">
        <v>279</v>
      </c>
      <c r="R12" s="63" t="s">
        <v>280</v>
      </c>
      <c r="S12" s="63" t="s">
        <v>280</v>
      </c>
      <c r="T12" s="63" t="s">
        <v>362</v>
      </c>
      <c r="U12" s="63" t="s">
        <v>363</v>
      </c>
      <c r="V12" s="63" t="s">
        <v>364</v>
      </c>
    </row>
    <row r="13" customFormat="false" ht="79.5" hidden="false" customHeight="true" outlineLevel="0" collapsed="false">
      <c r="A13" s="62" t="s">
        <v>365</v>
      </c>
      <c r="B13" s="63" t="s">
        <v>366</v>
      </c>
      <c r="C13" s="63" t="s">
        <v>367</v>
      </c>
      <c r="D13" s="63" t="s">
        <v>368</v>
      </c>
      <c r="E13" s="63" t="s">
        <v>369</v>
      </c>
      <c r="F13" s="63" t="s">
        <v>370</v>
      </c>
      <c r="G13" s="63" t="s">
        <v>371</v>
      </c>
      <c r="H13" s="63" t="s">
        <v>371</v>
      </c>
      <c r="I13" s="63" t="s">
        <v>372</v>
      </c>
      <c r="J13" s="63" t="s">
        <v>373</v>
      </c>
      <c r="K13" s="63" t="s">
        <v>374</v>
      </c>
      <c r="L13" s="63" t="s">
        <v>375</v>
      </c>
      <c r="M13" s="63" t="s">
        <v>376</v>
      </c>
      <c r="N13" s="63" t="s">
        <v>279</v>
      </c>
      <c r="O13" s="63" t="s">
        <v>279</v>
      </c>
      <c r="P13" s="63" t="s">
        <v>279</v>
      </c>
      <c r="Q13" s="63" t="s">
        <v>279</v>
      </c>
      <c r="R13" s="63" t="s">
        <v>377</v>
      </c>
      <c r="S13" s="63" t="s">
        <v>377</v>
      </c>
      <c r="T13" s="63" t="s">
        <v>378</v>
      </c>
      <c r="U13" s="63" t="s">
        <v>379</v>
      </c>
      <c r="V13" s="63" t="s">
        <v>380</v>
      </c>
    </row>
    <row r="14" customFormat="false" ht="79.5" hidden="false" customHeight="true" outlineLevel="0" collapsed="false">
      <c r="A14" s="62" t="s">
        <v>381</v>
      </c>
      <c r="B14" s="63" t="s">
        <v>366</v>
      </c>
      <c r="C14" s="63" t="s">
        <v>382</v>
      </c>
      <c r="D14" s="63" t="s">
        <v>383</v>
      </c>
      <c r="E14" s="63" t="s">
        <v>384</v>
      </c>
      <c r="F14" s="63" t="s">
        <v>385</v>
      </c>
      <c r="G14" s="63" t="s">
        <v>386</v>
      </c>
      <c r="H14" s="63" t="s">
        <v>387</v>
      </c>
      <c r="I14" s="63" t="s">
        <v>388</v>
      </c>
      <c r="J14" s="63" t="s">
        <v>389</v>
      </c>
      <c r="K14" s="63" t="s">
        <v>390</v>
      </c>
      <c r="L14" s="63" t="s">
        <v>391</v>
      </c>
      <c r="M14" s="63" t="s">
        <v>392</v>
      </c>
      <c r="N14" s="63" t="s">
        <v>279</v>
      </c>
      <c r="O14" s="63" t="s">
        <v>279</v>
      </c>
      <c r="P14" s="63" t="s">
        <v>279</v>
      </c>
      <c r="Q14" s="63" t="s">
        <v>279</v>
      </c>
      <c r="R14" s="63" t="s">
        <v>377</v>
      </c>
      <c r="S14" s="63" t="s">
        <v>377</v>
      </c>
      <c r="T14" s="63" t="s">
        <v>393</v>
      </c>
      <c r="U14" s="63" t="s">
        <v>394</v>
      </c>
      <c r="V14" s="63" t="s">
        <v>395</v>
      </c>
    </row>
    <row r="15" customFormat="false" ht="79.5" hidden="false" customHeight="true" outlineLevel="0" collapsed="false">
      <c r="A15" s="62" t="s">
        <v>396</v>
      </c>
      <c r="B15" s="63" t="s">
        <v>397</v>
      </c>
      <c r="C15" s="63" t="s">
        <v>398</v>
      </c>
      <c r="D15" s="63" t="s">
        <v>399</v>
      </c>
      <c r="E15" s="63" t="s">
        <v>400</v>
      </c>
      <c r="F15" s="63" t="s">
        <v>401</v>
      </c>
      <c r="G15" s="63" t="s">
        <v>402</v>
      </c>
      <c r="H15" s="63" t="s">
        <v>403</v>
      </c>
      <c r="I15" s="63" t="s">
        <v>404</v>
      </c>
      <c r="J15" s="63" t="s">
        <v>405</v>
      </c>
      <c r="K15" s="63" t="s">
        <v>406</v>
      </c>
      <c r="L15" s="63" t="s">
        <v>407</v>
      </c>
      <c r="M15" s="63" t="s">
        <v>408</v>
      </c>
      <c r="N15" s="63" t="s">
        <v>278</v>
      </c>
      <c r="O15" s="63" t="s">
        <v>279</v>
      </c>
      <c r="P15" s="63" t="s">
        <v>278</v>
      </c>
      <c r="Q15" s="63" t="s">
        <v>279</v>
      </c>
      <c r="R15" s="63" t="s">
        <v>280</v>
      </c>
      <c r="S15" s="63" t="s">
        <v>280</v>
      </c>
      <c r="T15" s="63" t="s">
        <v>409</v>
      </c>
      <c r="U15" s="63" t="s">
        <v>410</v>
      </c>
      <c r="V15" s="63" t="s">
        <v>411</v>
      </c>
    </row>
    <row r="16" customFormat="false" ht="79.5" hidden="false" customHeight="true" outlineLevel="0" collapsed="false">
      <c r="A16" s="62" t="s">
        <v>412</v>
      </c>
      <c r="B16" s="63" t="s">
        <v>397</v>
      </c>
      <c r="C16" s="63" t="s">
        <v>413</v>
      </c>
      <c r="D16" s="63" t="s">
        <v>414</v>
      </c>
      <c r="E16" s="63" t="s">
        <v>415</v>
      </c>
      <c r="F16" s="63" t="s">
        <v>401</v>
      </c>
      <c r="G16" s="63" t="s">
        <v>289</v>
      </c>
      <c r="H16" s="63" t="s">
        <v>403</v>
      </c>
      <c r="I16" s="63" t="s">
        <v>318</v>
      </c>
      <c r="J16" s="63" t="s">
        <v>416</v>
      </c>
      <c r="K16" s="63" t="s">
        <v>417</v>
      </c>
      <c r="L16" s="63" t="s">
        <v>418</v>
      </c>
      <c r="M16" s="63" t="s">
        <v>419</v>
      </c>
      <c r="N16" s="63" t="s">
        <v>278</v>
      </c>
      <c r="O16" s="63" t="s">
        <v>278</v>
      </c>
      <c r="P16" s="63" t="s">
        <v>377</v>
      </c>
      <c r="Q16" s="63" t="s">
        <v>279</v>
      </c>
      <c r="R16" s="63" t="s">
        <v>280</v>
      </c>
      <c r="S16" s="63" t="s">
        <v>280</v>
      </c>
      <c r="T16" s="63" t="s">
        <v>420</v>
      </c>
      <c r="U16" s="63" t="s">
        <v>421</v>
      </c>
      <c r="V16" s="63" t="s">
        <v>422</v>
      </c>
    </row>
  </sheetData>
  <mergeCells count="2">
    <mergeCell ref="A1:V1"/>
    <mergeCell ref="A2:V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2026-05-03T21:02:58Z</dcterms:created>
  <dc:creator>openpyxl</dc:creator>
  <dc:description/>
  <dc:language>en-US</dc:language>
  <cp:lastModifiedBy/>
  <dcterms:modified xsi:type="dcterms:W3CDTF">2026-05-03T21:02:58Z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