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álogo" sheetId="1" state="visible" r:id="rId3"/>
    <sheet name="Cuestionario" sheetId="2" state="visible" r:id="rId4"/>
    <sheet name="Canvas" sheetId="3" state="visible" r:id="rId5"/>
    <sheet name="Habilitador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<sst xmlns="http://schemas.openxmlformats.org/spreadsheetml/2006/main" count="209" uniqueCount="201">
  <si>
    <t xml:space="preserve">Catálogo de casos de uso · Recursos Humanos y Talento</t>
  </si>
  <si>
    <t xml:space="preserve">8 casos organizados en 2 bloques: ciclo de talento (atracción → reclutamiento → onboarding) · experiencia y retención. Marca en la última columna los casos que aplican a tu organización.</t>
  </si>
  <si>
    <t xml:space="preserve">#</t>
  </si>
  <si>
    <t xml:space="preserve">Caso de uso</t>
  </si>
  <si>
    <t xml:space="preserve">Descripción</t>
  </si>
  <si>
    <t xml:space="preserve">Familia de IA</t>
  </si>
  <si>
    <t xml:space="preserve">KPI típico</t>
  </si>
  <si>
    <t xml:space="preserve">Datos requeridos</t>
  </si>
  <si>
    <t xml:space="preserve">Esfuerzo</t>
  </si>
  <si>
    <t xml:space="preserve">Madurez (1-5)</t>
  </si>
  <si>
    <t xml:space="preserve">Compliance / riesgo</t>
  </si>
  <si>
    <t xml:space="preserve">¿Aplica a nosotros?</t>
  </si>
  <si>
    <t xml:space="preserve">Notas</t>
  </si>
  <si>
    <t xml:space="preserve">BLOQUE A — CICLO DE TALENTO (atracción → reclutamiento → onboarding)</t>
  </si>
  <si>
    <t xml:space="preserve">Construcción asistida de descripciones de cargo</t>
  </si>
  <si>
    <t xml:space="preserve">Genera descripciones de cargo (job descriptions) consistentes a partir de plantillas, ICP del rol, competencias del modelo organizacional y benchmarks externos. Detecta lenguaje sesgado y sugiere alternativas inclusivas.</t>
  </si>
  <si>
    <t xml:space="preserve">GenAI</t>
  </si>
  <si>
    <t xml:space="preserve">Tiempo de elaboración de JD, consistencia con modelo de competencias, % JDs aprobadas en primera revisión</t>
  </si>
  <si>
    <t xml:space="preserve">Plantillas maestras, modelo de competencias, JDs históricas, benchmarks salariales, glosario inclusivo</t>
  </si>
  <si>
    <t xml:space="preserve">Quick Win</t>
  </si>
  <si>
    <t xml:space="preserve">Sesgo de lenguaje (género, edad, raza); aprobación humana obligatoria; alineación con mercado salarial.</t>
  </si>
  <si>
    <t xml:space="preserve">Sourcing y publicación multi-portal de vacantes vía agentes</t>
  </si>
  <si>
    <t xml:space="preserve">Agente que publica una misma vacante en múltiples portales (LinkedIn, Computrabajo, OCC, Bumeran, Trabajando, Indeed) adaptando formato y keywords por canal. Hace sourcing activo de candidatos pasivos por skills/título/empresa y agenda outreach.</t>
  </si>
  <si>
    <t xml:space="preserve">Agentic AI + GenAI</t>
  </si>
  <si>
    <t xml:space="preserve">Tiempo de publicación por vacante, costo por canal, volumen y calidad de candidatos por portal</t>
  </si>
  <si>
    <t xml:space="preserve">Vacantes activas, credenciales API/scraping de portales, ICP del candidato, ATS conectado</t>
  </si>
  <si>
    <t xml:space="preserve">Mediano</t>
  </si>
  <si>
    <t xml:space="preserve">Términos de servicio de portales; protección de datos del candidato; trazabilidad de canales; manejo ético del outreach.</t>
  </si>
  <si>
    <t xml:space="preserve">Screening automatizado y ranking de candidatos</t>
  </si>
  <si>
    <t xml:space="preserve">Procesa CVs entrantes, los compara contra requisitos del rol, extrae competencias clave y genera un ranking explicable de mejor-a-peor match. Sugiere preguntas específicas por candidato para la siguiente etapa.</t>
  </si>
  <si>
    <t xml:space="preserve">ML + GenAI / RAG</t>
  </si>
  <si>
    <t xml:space="preserve">Tiempo a primera respuesta, calidad del shortlist, % de candidatos avanzando a entrevista, tasa de oferta aceptada</t>
  </si>
  <si>
    <t xml:space="preserve">CVs de candidatos, JD del rol, modelo de competencias, histórico de contrataciones con outcome</t>
  </si>
  <si>
    <t xml:space="preserve">Sesgo algorítmico discriminatorio; explicabilidad obligatoria; revisión humana de finalistas; cumplimiento EU AI Act (alto riesgo en empleo).</t>
  </si>
  <si>
    <t xml:space="preserve">Asistente de entrevistas de selección</t>
  </si>
  <si>
    <t xml:space="preserve">Copiloto en tiempo real durante la entrevista: transcribe, sugiere preguntas de profundización por competencia, captura respuestas y genera resumen estructurado con scoring. Soporta entrevistas estructuradas y por competencias.</t>
  </si>
  <si>
    <t xml:space="preserve">GenAI + ML</t>
  </si>
  <si>
    <t xml:space="preserve">Tiempo administrativo del entrevistador, calidad del scoring, consistencia entre entrevistadores, NPS candidato</t>
  </si>
  <si>
    <t xml:space="preserve">Plantillas de entrevistas estructuradas por rol, transcripciones (con consentimiento), modelo de competencias</t>
  </si>
  <si>
    <t xml:space="preserve">⚠ PRE-REQUISITO: consentimiento explícito y por escrito del candidato para grabación/transcripción antes de iniciar la entrevista. Privacidad de la grabación; revisión humana obligatoria de la decisión; sesgos del modelo; almacenamiento limitado y derecho de eliminación a solicitud del candidato.</t>
  </si>
  <si>
    <t xml:space="preserve">Sin consentimiento documentado del candidato → no avanzar. Revisar EU AI Act (empleo = alto riesgo) y normativa local de protección de datos.</t>
  </si>
  <si>
    <t xml:space="preserve">Skills inventory y búsqueda semántica de talento interno</t>
  </si>
  <si>
    <t xml:space="preserve">Construye un inventario digital de skills y experiencias del personal a partir de CVs internos, evaluaciones y proyectos previos. Permite búsquedas conversacionales ("¿quién sabe Snowflake con 3+ años en finanzas?") para cubrir vacantes y armar equipos.</t>
  </si>
  <si>
    <t xml:space="preserve">GenAI / RAG + ML</t>
  </si>
  <si>
    <t xml:space="preserve">Tiempo a cubrir vacantes con talento interno, % de movilidad interna, ahorro en costo de hire externo</t>
  </si>
  <si>
    <t xml:space="preserve">CVs internos, evaluaciones de desempeño, proyectos asignados, certificaciones, autodeclaración de skills</t>
  </si>
  <si>
    <t xml:space="preserve">Privacidad del empleado; consentimiento de uso de su perfil; transparencia sobre cómo se usa la data en decisiones de movilidad.</t>
  </si>
  <si>
    <t xml:space="preserve">Onboarding personalizado y seguimiento de hitos</t>
  </si>
  <si>
    <t xml:space="preserve">Asistente que arma un plan de onboarding adaptado al rol, equipo y nivel de seniority. Hace seguimiento automático de hitos (capacitaciones, accesos, primeras reuniones), detecta fricciones y alerta al manager. Asistente conversacional para preguntas del nuevo empleado.</t>
  </si>
  <si>
    <t xml:space="preserve">GenAI + Agentic + RAG</t>
  </si>
  <si>
    <t xml:space="preserve">Time-to-productivity, NPS de onboarding, retención a 90 días, % de hitos completados a tiempo</t>
  </si>
  <si>
    <t xml:space="preserve">Plan maestro por rol, sistemas de aprovisionamiento de accesos, calendario, manual del empleado, encuesta NPS</t>
  </si>
  <si>
    <t xml:space="preserve">Privacidad y consentimiento; trazabilidad de tareas automáticas; escalamiento humano si la persona reporta fricción.</t>
  </si>
  <si>
    <t xml:space="preserve">BLOQUE B — EXPERIENCIA DEL EMPLEADO Y RETENCIÓN</t>
  </si>
  <si>
    <t xml:space="preserve">Copiloto conversacional para empleados (HR helpdesk)</t>
  </si>
  <si>
    <t xml:space="preserve">Asistente conversacional que responde preguntas frecuentes de empleados sobre vacaciones, beneficios, nómina, políticas internas y procesos. Ejecuta acciones simples (solicitar vacaciones, certificados) y escala a humano cuando aplica.</t>
  </si>
  <si>
    <t xml:space="preserve">GenAI / RAG + Agentic</t>
  </si>
  <si>
    <t xml:space="preserve">Tasa de autoservicio, deflection de tickets a RRHH, tiempo de respuesta, NPS interno</t>
  </si>
  <si>
    <t xml:space="preserve">Manual del empleado, políticas internas digitalizadas, FAQs, integración con HRIS y ticketing</t>
  </si>
  <si>
    <t xml:space="preserve">Privacidad y autenticación robusta; riesgo de alucinación en políticas legales; trazabilidad; escalamiento humano en casos sensibles.</t>
  </si>
  <si>
    <t xml:space="preserve">Análisis de clima y predicción de rotación</t>
  </si>
  <si>
    <t xml:space="preserve">Analiza encuestas de clima/pulse, exit interviews, tickets internos y patrones de comportamiento para detectar focos de descontento y predecir riesgo de rotación por equipo/rol/manager con anticipación.</t>
  </si>
  <si>
    <t xml:space="preserve">ML clásico + GenAI</t>
  </si>
  <si>
    <t xml:space="preserve">Tasa de rotación, retención de talento clave, tiempo a detección de descontento, costo evitado de churn</t>
  </si>
  <si>
    <t xml:space="preserve">Encuestas de clima/pulse, exit interviews, datos de desempeño, datos de movilidad, tickets internos</t>
  </si>
  <si>
    <t xml:space="preserve">Privacidad y anonimización de respuestas; uso ético (no discriminación); transparencia con el equipo; decisiones siempre humanas.</t>
  </si>
  <si>
    <t xml:space="preserve">RESUMEN DE SELECCIONES</t>
  </si>
  <si>
    <t xml:space="preserve">Casos marcados "Sí":</t>
  </si>
  <si>
    <t xml:space="preserve">Casos marcados "Tal vez":</t>
  </si>
  <si>
    <t xml:space="preserve">Casos marcados "No":</t>
  </si>
  <si>
    <t xml:space="preserve">Total candidatos (Sí + Tal vez):</t>
  </si>
  <si>
    <t xml:space="preserve">Cuestionario de autoevaluación · Recursos Humanos y Talento</t>
  </si>
  <si>
    <t xml:space="preserve">16 preguntas en 4 bloques. Escala 1-5. Calcula automáticamente Pain × Readiness y entrega una recomendación estratégica.</t>
  </si>
  <si>
    <t xml:space="preserve">Escala:</t>
  </si>
  <si>
    <t xml:space="preserve">1 = no existe / muy bajo  ·  2 = bajo  ·  3 = medio  ·  4 = alto  ·  5 = sistemático / muy alto</t>
  </si>
  <si>
    <t xml:space="preserve">Pregunta</t>
  </si>
  <si>
    <t xml:space="preserve">Puntaje (1-5)</t>
  </si>
  <si>
    <t xml:space="preserve">BLOQUE A — Pain de RRHH y talento</t>
  </si>
  <si>
    <t xml:space="preserve">A1</t>
  </si>
  <si>
    <t xml:space="preserve">El volumen de vacantes activas y el time-to-hire que sufrimos hoy es:</t>
  </si>
  <si>
    <t xml:space="preserve">A2</t>
  </si>
  <si>
    <t xml:space="preserve">El tiempo administrativo del equipo de RRHH (publicar, screen, agendar, responder consultas) es:</t>
  </si>
  <si>
    <t xml:space="preserve">A3</t>
  </si>
  <si>
    <t xml:space="preserve">Nuestra tasa de rotación / pérdida de talento clave y el costo asociado es:</t>
  </si>
  <si>
    <t xml:space="preserve">A4</t>
  </si>
  <si>
    <t xml:space="preserve">La inconsistencia entre descripciones de cargo, entrevistas y experiencia del empleado es:</t>
  </si>
  <si>
    <t xml:space="preserve">BLOQUE B — Readiness de datos de talento</t>
  </si>
  <si>
    <t xml:space="preserve">B1</t>
  </si>
  <si>
    <t xml:space="preserve">Tenemos un ATS / sistema de reclutamiento corporativo único con histórico de 12+ meses:</t>
  </si>
  <si>
    <t xml:space="preserve">B2</t>
  </si>
  <si>
    <t xml:space="preserve">Tenemos un HRIS / sistema de nómina con datos de empleados actualizados y trazables:</t>
  </si>
  <si>
    <t xml:space="preserve">B3</t>
  </si>
  <si>
    <t xml:space="preserve">Las políticas, manuales y procesos de RRHH están digitalizados, accesibles y vigentes:</t>
  </si>
  <si>
    <t xml:space="preserve">B4</t>
  </si>
  <si>
    <t xml:space="preserve">Los datos de desempeño, clima y encuestas están digitalizados y son trazables a persona/equipo:</t>
  </si>
  <si>
    <t xml:space="preserve">BLOQUE C — Readiness del equipo de RRHH</t>
  </si>
  <si>
    <t xml:space="preserve">C1</t>
  </si>
  <si>
    <t xml:space="preserve">El liderazgo de RRHH está abierto a incorporar IA y patrocina la iniciativa:</t>
  </si>
  <si>
    <t xml:space="preserve">C2</t>
  </si>
  <si>
    <t xml:space="preserve">Existen aliados naturales (champions tecnológicos / superusuarios) en el equipo de RRHH:</t>
  </si>
  <si>
    <t xml:space="preserve">C3</t>
  </si>
  <si>
    <t xml:space="preserve">La cultura tolera IA con humano-en-el-bucle, especialmente en decisiones que afectan personas:</t>
  </si>
  <si>
    <t xml:space="preserve">C4</t>
  </si>
  <si>
    <t xml:space="preserve">El equipo ha pasado por proyectos de transformación o adopción tecnológica previos con resultados razonables:</t>
  </si>
  <si>
    <t xml:space="preserve">BLOQUE D — Alineación estratégica y compliance laboral</t>
  </si>
  <si>
    <t xml:space="preserve">D1</t>
  </si>
  <si>
    <t xml:space="preserve">Tenemos metas explícitas: time-to-hire, cost-to-hire, retención, NPS empleado, movilidad interna:</t>
  </si>
  <si>
    <t xml:space="preserve">D2</t>
  </si>
  <si>
    <t xml:space="preserve">Hay presupuesto razonable para invertir en IA en RRHH en los próximos 12 meses:</t>
  </si>
  <si>
    <t xml:space="preserve">D3</t>
  </si>
  <si>
    <t xml:space="preserve">El marco legal-laboral y de protección de datos personales (LFPDPPP, GDPR, EU AI Act, no discriminación) está identificado y manejado:</t>
  </si>
  <si>
    <t xml:space="preserve">D4</t>
  </si>
  <si>
    <t xml:space="preserve">Hay alineación con líderes de negocio sobre necesidades de talento y prioridades de RRHH:</t>
  </si>
  <si>
    <t xml:space="preserve">RESULTADOS</t>
  </si>
  <si>
    <t xml:space="preserve">Pain score (Bloque A):</t>
  </si>
  <si>
    <t xml:space="preserve">Readiness score (Bloques B + C + D):</t>
  </si>
  <si>
    <t xml:space="preserve">RECOMENDACIÓN:</t>
  </si>
  <si>
    <t xml:space="preserve">Promedios por bloque (referencia):</t>
  </si>
  <si>
    <t xml:space="preserve">Bloque A — Pain:</t>
  </si>
  <si>
    <t xml:space="preserve">Bloque B — Datos:</t>
  </si>
  <si>
    <t xml:space="preserve">Bloque C — Equipo:</t>
  </si>
  <si>
    <t xml:space="preserve">Bloque D — Estrategia:</t>
  </si>
  <si>
    <t xml:space="preserve">Matriz 2×2 — Pain × Readiness</t>
  </si>
  <si>
    <t xml:space="preserve">Readiness BAJA (&lt; 3.5)</t>
  </si>
  <si>
    <t xml:space="preserve">Readiness ALTA (≥ 3.5)</t>
  </si>
  <si>
    <t xml:space="preserve">Pain ALTO (≥ 3.5)</t>
  </si>
  <si>
    <t xml:space="preserve">Invertir en habilitadores primero</t>
  </si>
  <si>
    <t xml:space="preserve">QUICK WIN PRIORITARIO</t>
  </si>
  <si>
    <t xml:space="preserve">Pain BAJO (&lt; 3.5)</t>
  </si>
  <si>
    <t xml:space="preserve">Aún no es momento</t>
  </si>
  <si>
    <t xml:space="preserve">Oportunidad sin urgencia</t>
  </si>
  <si>
    <t xml:space="preserve">Canvas de oportunidad · Recursos Humanos y Talento</t>
  </si>
  <si>
    <t xml:space="preserve">Documenta una oportunidad concreta en una página. Reemplaza el texto de ejemplo (en cursiva) con tu información.</t>
  </si>
  <si>
    <t xml:space="preserve">1.  Nombre del caso</t>
  </si>
  <si>
    <t xml:space="preserve">   Prompt: ≤ 8 palabras</t>
  </si>
  <si>
    <t xml:space="preserve">Ej. Screening automatizado de CVs para roles tech</t>
  </si>
  <si>
    <t xml:space="preserve">2.  Pain point concreto</t>
  </si>
  <si>
    <t xml:space="preserve">   Prompt: Hoy nuestro equipo de RRHH/managers sufre X cuando Y</t>
  </si>
  <si>
    <t xml:space="preserve">Ej. Hoy nuestros 3 reclutadores procesan ~600 CVs/mes para roles tech con time-to-shortlist de 8 días; pierden 50% del tiempo en lectura inicial.</t>
  </si>
  <si>
    <t xml:space="preserve">3.  Frecuencia y volumen</t>
  </si>
  <si>
    <t xml:space="preserve">   Prompt: ¿Cuántos candidatos/vacantes/empleados afecta por mes?</t>
  </si>
  <si>
    <t xml:space="preserve">Ej. ~600 CVs/mes; 25 vacantes activas en tech; 3 reclutadores y 12 hiring managers afectados.</t>
  </si>
  <si>
    <t xml:space="preserve">4.  Costo estimado del dolor</t>
  </si>
  <si>
    <t xml:space="preserve">   Prompt: USD/mes en costo directo + oportunidad perdida</t>
  </si>
  <si>
    <t xml:space="preserve">Ej. 50% del tiempo reclutador = USD 4.500/mes; pérdida por vacantes abiertas (revenue/productividad) ~ USD 30.000/mes.</t>
  </si>
  <si>
    <t xml:space="preserve">5.  KPI primario a mover</t>
  </si>
  <si>
    <t xml:space="preserve">   Prompt: Indicador concreto y dirección</t>
  </si>
  <si>
    <t xml:space="preserve">Ej. Time-to-shortlist (de 8 días a 2 días); calidad del shortlist; tasa de oferta aceptada.</t>
  </si>
  <si>
    <t xml:space="preserve">6.  Magnitud esperada del cambio</t>
  </si>
  <si>
    <t xml:space="preserve">   Prompt: De X a Y, en qué horizonte</t>
  </si>
  <si>
    <t xml:space="preserve">Ej. Reducir time-to-shortlist 75% en 6 meses; ahorrar 1.5 FTE-mes a partir del mes 4.</t>
  </si>
  <si>
    <t xml:space="preserve">7.  Datos disponibles</t>
  </si>
  <si>
    <t xml:space="preserve">   Prompt: Fuentes, volumen, calidad, brechas</t>
  </si>
  <si>
    <t xml:space="preserve">Ej. ATS Greenhouse con 24 meses de historia (calidad media); JDs estandarizadas en Notion; modelo de competencias en draft.</t>
  </si>
  <si>
    <t xml:space="preserve">8.  Familia de IA hipotética</t>
  </si>
  <si>
    <t xml:space="preserve">   Prompt: Reglas / ML clásico / GenAI / Agentic / Híbrida (Módulo 4)</t>
  </si>
  <si>
    <t xml:space="preserve">Ej. GenAI con RAG sobre JDs y modelo de competencias + ML clásico para ranking explicable.</t>
  </si>
  <si>
    <t xml:space="preserve">9.  Riesgos visibles</t>
  </si>
  <si>
    <t xml:space="preserve">   Prompt: Regulatorios, técnicos, de adopción</t>
  </si>
  <si>
    <t xml:space="preserve">Ej. Sesgo discriminatorio en ranking; explicabilidad obligatoria; compliance EU AI Act (sistema de alto riesgo en empleo); resistencia de reclutadores.</t>
  </si>
  <si>
    <t xml:space="preserve">10. Sponsor del caso</t>
  </si>
  <si>
    <t xml:space="preserve">   Prompt: Nombre y rol del patrocinador ejecutivo</t>
  </si>
  <si>
    <t xml:space="preserve">Ej. Directora de Talent Acquisition, Camila Pérez.</t>
  </si>
  <si>
    <t xml:space="preserve">SALIDA — Resumen del caso para Módulo 2 / 3</t>
  </si>
  <si>
    <t xml:space="preserve">Cuando completes los 10 campos, copia el contenido en la plantilla de oportunidad del Módulo 2 (cartera) y del Módulo 3 (priorización por impacto × viabilidad).</t>
  </si>
  <si>
    <t xml:space="preserve">Habilitadores pre-IA · HR Tech Stack Maturity</t>
  </si>
  <si>
    <t xml:space="preserve">Antes de pensar en IA, tu RRHH necesita ciertas capacidades mínimas. Marca el estado de cada habilitador: Sí · Parcial · No · No aplica.</t>
  </si>
  <si>
    <t xml:space="preserve">Habilitador</t>
  </si>
  <si>
    <t xml:space="preserve">Estado</t>
  </si>
  <si>
    <t xml:space="preserve">Comentario</t>
  </si>
  <si>
    <t xml:space="preserve">A. ATS Y RECLUTAMIENTO</t>
  </si>
  <si>
    <t xml:space="preserve">Tenemos ATS corporativo único (Greenhouse, Lever, SmartRecruiters, Workday Recruit, Bizneo u otro) con histórico de 12+ meses</t>
  </si>
  <si>
    <t xml:space="preserve">El pipeline de candidatos está digital con outcome trazable por etapa</t>
  </si>
  <si>
    <t xml:space="preserve">Las descripciones de cargo (JDs) están estandarizadas y mantenidas</t>
  </si>
  <si>
    <t xml:space="preserve">Existe un modelo de competencias y/o framework de skills documentado y operativo</t>
  </si>
  <si>
    <t xml:space="preserve">B. HRIS Y DATOS DEL EMPLEADO</t>
  </si>
  <si>
    <t xml:space="preserve">Tenemos HRIS / sistema de nómina con datos de empleados actualizados (Workday, BambooHR, Buk, Rankmi, Worky u otro)</t>
  </si>
  <si>
    <t xml:space="preserve">Existe registro digital de movilidad interna (rotaciones, promociones, transferencias)</t>
  </si>
  <si>
    <t xml:space="preserve">Los datos de desempeño y evaluaciones están digitalizados y trazables a persona</t>
  </si>
  <si>
    <t xml:space="preserve">Existe un skills inventory de empleados con cobertura razonable (≥50% de la plantilla)</t>
  </si>
  <si>
    <t xml:space="preserve">C. CONTENIDO Y CONOCIMIENTO INTERNO</t>
  </si>
  <si>
    <t xml:space="preserve">Manual del empleado y políticas internas digitalizadas, vigentes y accesibles</t>
  </si>
  <si>
    <t xml:space="preserve">Plan de onboarding documentado por rol, área o nivel</t>
  </si>
  <si>
    <t xml:space="preserve">Materiales de formación digitales y catalogados (LMS o equivalente)</t>
  </si>
  <si>
    <t xml:space="preserve">Taxonomía y FAQs internas (vacaciones, beneficios, nómina, compliance) actualizadas</t>
  </si>
  <si>
    <t xml:space="preserve">D. EXPERIENCIA Y FEEDBACK</t>
  </si>
  <si>
    <t xml:space="preserve">Encuestas de clima / pulse digitales con cadencia regular</t>
  </si>
  <si>
    <t xml:space="preserve">Canales de feedback formal e informal trazables (tickets RRHH, exit interviews, 1:1s)</t>
  </si>
  <si>
    <t xml:space="preserve">Métricas de engagement disponibles y consumidas por liderazgo</t>
  </si>
  <si>
    <t xml:space="preserve">Datos de turnover por equipo, rol y manager con histórico de 12+ meses</t>
  </si>
  <si>
    <t xml:space="preserve">E. PROCESOS, EQUIPO Y GOBIERNO</t>
  </si>
  <si>
    <t xml:space="preserve">Hay un responsable de People Ops / HR Tech identificado</t>
  </si>
  <si>
    <t xml:space="preserve">Existe alineación operativa entre RRHH y hiring managers (SLAs, definiciones, rituales)</t>
  </si>
  <si>
    <t xml:space="preserve">El equipo de RRHH tiene capacidad mínima de prompting / uso de herramientas GenAI</t>
  </si>
  <si>
    <t xml:space="preserve">Hay política interna sobre uso ético de IA en decisiones de personas (sesgos, transparencia, decisión humana)</t>
  </si>
  <si>
    <t xml:space="preserve">RESUMEN Y SCORE DE READINESS</t>
  </si>
  <si>
    <t xml:space="preserve">Habilitadores marcados "Sí":</t>
  </si>
  <si>
    <t xml:space="preserve">Parciales:</t>
  </si>
  <si>
    <t xml:space="preserve">No tenemos:</t>
  </si>
  <si>
    <t xml:space="preserve">No aplican:</t>
  </si>
  <si>
    <t xml:space="preserve">SCORE DE READINESS DE RRHH: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</si>
</sst>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A5F"/>
      <name val="Arial"/>
      <family val="0"/>
      <charset val="1"/>
    </font>
    <font>
      <sz val="11"/>
      <color rgb="FF6B7280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sz val="11"/>
      <name val="Arial"/>
      <family val="0"/>
      <charset val="1"/>
    </font>
    <font>
      <sz val="11"/>
      <color rgb="FFB91C1C"/>
      <name val="Arial"/>
      <family val="0"/>
      <charset val="1"/>
    </font>
    <font>
      <b val="true"/>
      <i val="true"/>
      <sz val="10"/>
      <color rgb="FFB91C1C"/>
      <name val="Arial"/>
      <family val="0"/>
      <charset val="1"/>
    </font>
    <font>
      <b val="true"/>
      <sz val="13"/>
      <color rgb="FF1F3A5F"/>
      <name val="Arial"/>
      <family val="0"/>
      <charset val="1"/>
    </font>
    <font>
      <sz val="10"/>
      <color rgb="FF6B7280"/>
      <name val="Arial"/>
      <family val="0"/>
      <charset val="1"/>
    </font>
    <font>
      <i val="true"/>
      <sz val="11"/>
      <color rgb="FF37415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8EEF4"/>
        <bgColor rgb="FFFEF2F2"/>
      </patternFill>
    </fill>
    <fill>
      <patternFill patternType="solid">
        <fgColor rgb="FFFEF2F2"/>
        <bgColor rgb="FFFFF8DC"/>
      </patternFill>
    </fill>
    <fill>
      <patternFill patternType="solid">
        <fgColor rgb="FFFDE7E9"/>
        <bgColor rgb="FFFEF2F2"/>
      </patternFill>
    </fill>
    <fill>
      <patternFill patternType="solid">
        <fgColor rgb="FFFFF8DC"/>
        <bgColor rgb="FFFE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E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DC"/>
      <rgbColor rgb="FFE8EEF4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7E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F3A5F"/>
      <rgbColor rgb="FF339966"/>
      <rgbColor rgb="FF003300"/>
      <rgbColor rgb="FF333300"/>
      <rgbColor rgb="FFB91C1C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44"/>
    <col collapsed="false" customWidth="true" hidden="false" outlineLevel="0" max="4" min="4" style="1" width="20"/>
    <col collapsed="false" customWidth="true" hidden="false" outlineLevel="0" max="5" min="5" style="1" width="26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11"/>
    <col collapsed="false" customWidth="true" hidden="false" outlineLevel="0" max="9" min="9" style="1" width="30"/>
    <col collapsed="false" customWidth="true" hidden="false" outlineLevel="0" max="10" min="10" style="1" width="16"/>
    <col collapsed="false" customWidth="true" hidden="false" outlineLevel="0" max="11" min="11" style="1" width="24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31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customFormat="false" ht="21.75" hidden="false" customHeight="true" outlineLevel="0" collapsed="false">
      <c r="A5" s="5" t="s">
        <v>13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customFormat="false" ht="90" hidden="false" customHeight="true" outlineLevel="0" collapsed="false">
      <c r="A6" s="6" t="n">
        <v>1</v>
      </c>
      <c r="B6" s="7" t="s">
        <v>14</v>
      </c>
      <c r="C6" s="7" t="s">
        <v>15</v>
      </c>
      <c r="D6" s="7" t="s">
        <v>16</v>
      </c>
      <c r="E6" s="7" t="s">
        <v>17</v>
      </c>
      <c r="F6" s="7" t="s">
        <v>18</v>
      </c>
      <c r="G6" s="6" t="s">
        <v>19</v>
      </c>
      <c r="H6" s="6" t="n">
        <v>5</v>
      </c>
      <c r="I6" s="7" t="s">
        <v>20</v>
      </c>
    </row>
    <row r="7" customFormat="false" ht="90" hidden="false" customHeight="true" outlineLevel="0" collapsed="false">
      <c r="A7" s="6" t="n">
        <v>2</v>
      </c>
      <c r="B7" s="7" t="s">
        <v>21</v>
      </c>
      <c r="C7" s="7" t="s">
        <v>22</v>
      </c>
      <c r="D7" s="7" t="s">
        <v>23</v>
      </c>
      <c r="E7" s="7" t="s">
        <v>24</v>
      </c>
      <c r="F7" s="7" t="s">
        <v>25</v>
      </c>
      <c r="G7" s="6" t="s">
        <v>26</v>
      </c>
      <c r="H7" s="6" t="n">
        <v>4</v>
      </c>
      <c r="I7" s="7" t="s">
        <v>27</v>
      </c>
    </row>
    <row r="8" customFormat="false" ht="90" hidden="false" customHeight="true" outlineLevel="0" collapsed="false">
      <c r="A8" s="6" t="n">
        <v>3</v>
      </c>
      <c r="B8" s="7" t="s">
        <v>28</v>
      </c>
      <c r="C8" s="7" t="s">
        <v>29</v>
      </c>
      <c r="D8" s="7" t="s">
        <v>30</v>
      </c>
      <c r="E8" s="7" t="s">
        <v>31</v>
      </c>
      <c r="F8" s="7" t="s">
        <v>32</v>
      </c>
      <c r="G8" s="6" t="s">
        <v>19</v>
      </c>
      <c r="H8" s="6" t="n">
        <v>4</v>
      </c>
      <c r="I8" s="7" t="s">
        <v>33</v>
      </c>
    </row>
    <row r="9" customFormat="false" ht="109.5" hidden="false" customHeight="true" outlineLevel="0" collapsed="false">
      <c r="A9" s="6" t="n">
        <v>4</v>
      </c>
      <c r="B9" s="7" t="s">
        <v>34</v>
      </c>
      <c r="C9" s="7" t="s">
        <v>35</v>
      </c>
      <c r="D9" s="7" t="s">
        <v>36</v>
      </c>
      <c r="E9" s="7" t="s">
        <v>37</v>
      </c>
      <c r="F9" s="7" t="s">
        <v>38</v>
      </c>
      <c r="G9" s="6" t="s">
        <v>26</v>
      </c>
      <c r="H9" s="6" t="n">
        <v>4</v>
      </c>
      <c r="I9" s="8" t="s">
        <v>39</v>
      </c>
      <c r="K9" s="9" t="s">
        <v>40</v>
      </c>
    </row>
    <row r="10" customFormat="false" ht="90" hidden="false" customHeight="true" outlineLevel="0" collapsed="false">
      <c r="A10" s="6" t="n">
        <v>5</v>
      </c>
      <c r="B10" s="7" t="s">
        <v>41</v>
      </c>
      <c r="C10" s="7" t="s">
        <v>42</v>
      </c>
      <c r="D10" s="7" t="s">
        <v>43</v>
      </c>
      <c r="E10" s="7" t="s">
        <v>44</v>
      </c>
      <c r="F10" s="7" t="s">
        <v>45</v>
      </c>
      <c r="G10" s="6" t="s">
        <v>26</v>
      </c>
      <c r="H10" s="6" t="n">
        <v>4</v>
      </c>
      <c r="I10" s="7" t="s">
        <v>46</v>
      </c>
    </row>
    <row r="11" customFormat="false" ht="90" hidden="false" customHeight="true" outlineLevel="0" collapsed="false">
      <c r="A11" s="6" t="n">
        <v>6</v>
      </c>
      <c r="B11" s="7" t="s">
        <v>47</v>
      </c>
      <c r="C11" s="7" t="s">
        <v>48</v>
      </c>
      <c r="D11" s="7" t="s">
        <v>49</v>
      </c>
      <c r="E11" s="7" t="s">
        <v>50</v>
      </c>
      <c r="F11" s="7" t="s">
        <v>51</v>
      </c>
      <c r="G11" s="6" t="s">
        <v>19</v>
      </c>
      <c r="H11" s="6" t="n">
        <v>4</v>
      </c>
      <c r="I11" s="7" t="s">
        <v>52</v>
      </c>
    </row>
    <row r="12" customFormat="false" ht="21.75" hidden="false" customHeight="true" outlineLevel="0" collapsed="false">
      <c r="A12" s="5" t="s">
        <v>53</v>
      </c>
      <c r="B12" s="5"/>
      <c r="C12" s="5"/>
      <c r="D12" s="5"/>
      <c r="E12" s="5"/>
      <c r="F12" s="5"/>
      <c r="G12" s="5"/>
      <c r="H12" s="5"/>
      <c r="I12" s="5"/>
      <c r="J12" s="5"/>
      <c r="K12" s="5"/>
    </row>
    <row r="13" customFormat="false" ht="90" hidden="false" customHeight="true" outlineLevel="0" collapsed="false">
      <c r="A13" s="6" t="n">
        <v>7</v>
      </c>
      <c r="B13" s="7" t="s">
        <v>54</v>
      </c>
      <c r="C13" s="7" t="s">
        <v>55</v>
      </c>
      <c r="D13" s="7" t="s">
        <v>56</v>
      </c>
      <c r="E13" s="7" t="s">
        <v>57</v>
      </c>
      <c r="F13" s="7" t="s">
        <v>58</v>
      </c>
      <c r="G13" s="6" t="s">
        <v>19</v>
      </c>
      <c r="H13" s="6" t="n">
        <v>5</v>
      </c>
      <c r="I13" s="7" t="s">
        <v>59</v>
      </c>
    </row>
    <row r="14" customFormat="false" ht="90" hidden="false" customHeight="true" outlineLevel="0" collapsed="false">
      <c r="A14" s="6" t="n">
        <v>8</v>
      </c>
      <c r="B14" s="7" t="s">
        <v>60</v>
      </c>
      <c r="C14" s="7" t="s">
        <v>61</v>
      </c>
      <c r="D14" s="7" t="s">
        <v>62</v>
      </c>
      <c r="E14" s="7" t="s">
        <v>63</v>
      </c>
      <c r="F14" s="7" t="s">
        <v>64</v>
      </c>
      <c r="G14" s="6" t="s">
        <v>26</v>
      </c>
      <c r="H14" s="6" t="n">
        <v>4</v>
      </c>
      <c r="I14" s="7" t="s">
        <v>65</v>
      </c>
    </row>
    <row r="16" customFormat="false" ht="21.75" hidden="false" customHeight="true" outlineLevel="0" collapsed="false">
      <c r="A16" s="5" t="s">
        <v>66</v>
      </c>
      <c r="B16" s="5"/>
      <c r="C16" s="5"/>
      <c r="D16" s="5"/>
    </row>
    <row r="17" customFormat="false" ht="18" hidden="false" customHeight="true" outlineLevel="0" collapsed="false">
      <c r="A17" s="10" t="s">
        <v>67</v>
      </c>
      <c r="B17" s="11" t="n">
        <f aca="false">COUNTIF(J6:J11,"Sí")+COUNTIF(J13:J14,"Sí")</f>
        <v>0</v>
      </c>
    </row>
    <row r="18" customFormat="false" ht="18" hidden="false" customHeight="true" outlineLevel="0" collapsed="false">
      <c r="A18" s="10" t="s">
        <v>68</v>
      </c>
      <c r="B18" s="11" t="n">
        <f aca="false">COUNTIF(J6:J11,"Tal vez")+COUNTIF(J13:J14,"Tal vez")</f>
        <v>0</v>
      </c>
    </row>
    <row r="19" customFormat="false" ht="18" hidden="false" customHeight="true" outlineLevel="0" collapsed="false">
      <c r="A19" s="10" t="s">
        <v>69</v>
      </c>
      <c r="B19" s="11" t="n">
        <f aca="false">COUNTIF(J6:J11,"No")+COUNTIF(J13:J14,"No")</f>
        <v>0</v>
      </c>
    </row>
    <row r="20" customFormat="false" ht="18" hidden="false" customHeight="true" outlineLevel="0" collapsed="false">
      <c r="A20" s="10" t="s">
        <v>70</v>
      </c>
      <c r="B20" s="11" t="n">
        <f aca="false">COUNTIF(J6:J11,"Sí")+COUNTIF(J13:J14,"Sí")+COUNTIF(J6:J11,"Tal vez")+COUNTIF(J13:J14,"Tal vez")</f>
        <v>0</v>
      </c>
    </row>
  </sheetData>
  <mergeCells count="5">
    <mergeCell ref="A1:K1"/>
    <mergeCell ref="A2:K2"/>
    <mergeCell ref="A5:K5"/>
    <mergeCell ref="A12:K12"/>
    <mergeCell ref="A16:D16"/>
  </mergeCells>
  <dataValidations count="1">
    <dataValidation allowBlank="true" errorStyle="stop" operator="between" showDropDown="false" showErrorMessage="false" showInputMessage="false" sqref="J6:J11 J13:J14" type="list">
      <formula1>"Sí,No,Tal vez"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70"/>
    <col collapsed="false" customWidth="true" hidden="false" outlineLevel="0" max="3" min="3" style="1" width="22"/>
    <col collapsed="false" customWidth="true" hidden="false" outlineLevel="0" max="4" min="4" style="1" width="4"/>
    <col collapsed="false" customWidth="true" hidden="false" outlineLevel="0" max="5" min="5" style="1" width="22"/>
  </cols>
  <sheetData>
    <row r="1" customFormat="false" ht="27.75" hidden="false" customHeight="true" outlineLevel="0" collapsed="false">
      <c r="A1" s="2" t="s">
        <v>71</v>
      </c>
      <c r="B1" s="2"/>
      <c r="C1" s="2"/>
      <c r="D1" s="2"/>
      <c r="E1" s="2"/>
    </row>
    <row r="2" customFormat="false" ht="30" hidden="false" customHeight="true" outlineLevel="0" collapsed="false">
      <c r="A2" s="3" t="s">
        <v>72</v>
      </c>
      <c r="B2" s="3"/>
      <c r="C2" s="3"/>
      <c r="D2" s="3"/>
      <c r="E2" s="3"/>
    </row>
    <row r="4" customFormat="false" ht="15" hidden="false" customHeight="true" outlineLevel="0" collapsed="false">
      <c r="A4" s="12" t="s">
        <v>73</v>
      </c>
      <c r="B4" s="13" t="s">
        <v>74</v>
      </c>
      <c r="C4" s="13"/>
      <c r="D4" s="13"/>
      <c r="E4" s="13"/>
    </row>
    <row r="6" customFormat="false" ht="24" hidden="false" customHeight="true" outlineLevel="0" collapsed="false">
      <c r="A6" s="4" t="s">
        <v>2</v>
      </c>
      <c r="B6" s="4" t="s">
        <v>75</v>
      </c>
      <c r="C6" s="4" t="s">
        <v>76</v>
      </c>
    </row>
    <row r="8" customFormat="false" ht="21.75" hidden="false" customHeight="true" outlineLevel="0" collapsed="false">
      <c r="A8" s="14" t="s">
        <v>77</v>
      </c>
      <c r="B8" s="14"/>
      <c r="C8" s="14"/>
      <c r="D8" s="14"/>
      <c r="E8" s="14"/>
    </row>
    <row r="9" customFormat="false" ht="31.5" hidden="false" customHeight="true" outlineLevel="0" collapsed="false">
      <c r="A9" s="15" t="s">
        <v>78</v>
      </c>
      <c r="B9" s="16" t="s">
        <v>79</v>
      </c>
      <c r="C9" s="17"/>
    </row>
    <row r="10" customFormat="false" ht="31.5" hidden="false" customHeight="true" outlineLevel="0" collapsed="false">
      <c r="A10" s="15" t="s">
        <v>80</v>
      </c>
      <c r="B10" s="16" t="s">
        <v>81</v>
      </c>
      <c r="C10" s="17"/>
    </row>
    <row r="11" customFormat="false" ht="31.5" hidden="false" customHeight="true" outlineLevel="0" collapsed="false">
      <c r="A11" s="15" t="s">
        <v>82</v>
      </c>
      <c r="B11" s="16" t="s">
        <v>83</v>
      </c>
      <c r="C11" s="17"/>
    </row>
    <row r="12" customFormat="false" ht="31.5" hidden="false" customHeight="true" outlineLevel="0" collapsed="false">
      <c r="A12" s="15" t="s">
        <v>84</v>
      </c>
      <c r="B12" s="16" t="s">
        <v>85</v>
      </c>
      <c r="C12" s="17"/>
    </row>
    <row r="14" customFormat="false" ht="21.75" hidden="false" customHeight="true" outlineLevel="0" collapsed="false">
      <c r="A14" s="5" t="s">
        <v>86</v>
      </c>
      <c r="B14" s="5"/>
      <c r="C14" s="5"/>
      <c r="D14" s="5"/>
      <c r="E14" s="5"/>
    </row>
    <row r="15" customFormat="false" ht="31.5" hidden="false" customHeight="true" outlineLevel="0" collapsed="false">
      <c r="A15" s="15" t="s">
        <v>87</v>
      </c>
      <c r="B15" s="16" t="s">
        <v>88</v>
      </c>
      <c r="C15" s="17"/>
    </row>
    <row r="16" customFormat="false" ht="31.5" hidden="false" customHeight="true" outlineLevel="0" collapsed="false">
      <c r="A16" s="15" t="s">
        <v>89</v>
      </c>
      <c r="B16" s="16" t="s">
        <v>90</v>
      </c>
      <c r="C16" s="17"/>
    </row>
    <row r="17" customFormat="false" ht="31.5" hidden="false" customHeight="true" outlineLevel="0" collapsed="false">
      <c r="A17" s="15" t="s">
        <v>91</v>
      </c>
      <c r="B17" s="16" t="s">
        <v>92</v>
      </c>
      <c r="C17" s="17"/>
    </row>
    <row r="18" customFormat="false" ht="31.5" hidden="false" customHeight="true" outlineLevel="0" collapsed="false">
      <c r="A18" s="15" t="s">
        <v>93</v>
      </c>
      <c r="B18" s="16" t="s">
        <v>94</v>
      </c>
      <c r="C18" s="17"/>
    </row>
    <row r="20" customFormat="false" ht="21.75" hidden="false" customHeight="true" outlineLevel="0" collapsed="false">
      <c r="A20" s="5" t="s">
        <v>95</v>
      </c>
      <c r="B20" s="5"/>
      <c r="C20" s="5"/>
      <c r="D20" s="5"/>
      <c r="E20" s="5"/>
    </row>
    <row r="21" customFormat="false" ht="31.5" hidden="false" customHeight="true" outlineLevel="0" collapsed="false">
      <c r="A21" s="15" t="s">
        <v>96</v>
      </c>
      <c r="B21" s="16" t="s">
        <v>97</v>
      </c>
      <c r="C21" s="17"/>
    </row>
    <row r="22" customFormat="false" ht="31.5" hidden="false" customHeight="true" outlineLevel="0" collapsed="false">
      <c r="A22" s="15" t="s">
        <v>98</v>
      </c>
      <c r="B22" s="16" t="s">
        <v>99</v>
      </c>
      <c r="C22" s="17"/>
    </row>
    <row r="23" customFormat="false" ht="31.5" hidden="false" customHeight="true" outlineLevel="0" collapsed="false">
      <c r="A23" s="15" t="s">
        <v>100</v>
      </c>
      <c r="B23" s="16" t="s">
        <v>101</v>
      </c>
      <c r="C23" s="17"/>
    </row>
    <row r="24" customFormat="false" ht="31.5" hidden="false" customHeight="true" outlineLevel="0" collapsed="false">
      <c r="A24" s="15" t="s">
        <v>102</v>
      </c>
      <c r="B24" s="16" t="s">
        <v>103</v>
      </c>
      <c r="C24" s="17"/>
    </row>
    <row r="26" customFormat="false" ht="21.75" hidden="false" customHeight="true" outlineLevel="0" collapsed="false">
      <c r="A26" s="5" t="s">
        <v>104</v>
      </c>
      <c r="B26" s="5"/>
      <c r="C26" s="5"/>
      <c r="D26" s="5"/>
      <c r="E26" s="5"/>
    </row>
    <row r="27" customFormat="false" ht="31.5" hidden="false" customHeight="true" outlineLevel="0" collapsed="false">
      <c r="A27" s="15" t="s">
        <v>105</v>
      </c>
      <c r="B27" s="16" t="s">
        <v>106</v>
      </c>
      <c r="C27" s="17"/>
    </row>
    <row r="28" customFormat="false" ht="31.5" hidden="false" customHeight="true" outlineLevel="0" collapsed="false">
      <c r="A28" s="15" t="s">
        <v>107</v>
      </c>
      <c r="B28" s="16" t="s">
        <v>108</v>
      </c>
      <c r="C28" s="17"/>
    </row>
    <row r="29" customFormat="false" ht="31.5" hidden="false" customHeight="true" outlineLevel="0" collapsed="false">
      <c r="A29" s="15" t="s">
        <v>109</v>
      </c>
      <c r="B29" s="16" t="s">
        <v>110</v>
      </c>
      <c r="C29" s="17"/>
    </row>
    <row r="30" customFormat="false" ht="31.5" hidden="false" customHeight="true" outlineLevel="0" collapsed="false">
      <c r="A30" s="15" t="s">
        <v>111</v>
      </c>
      <c r="B30" s="16" t="s">
        <v>112</v>
      </c>
      <c r="C30" s="17"/>
    </row>
    <row r="32" customFormat="false" ht="24" hidden="false" customHeight="true" outlineLevel="0" collapsed="false">
      <c r="A32" s="18" t="s">
        <v>113</v>
      </c>
      <c r="B32" s="18"/>
      <c r="C32" s="18"/>
      <c r="D32" s="18"/>
      <c r="E32" s="18"/>
    </row>
    <row r="33" customFormat="false" ht="15" hidden="false" customHeight="true" outlineLevel="0" collapsed="false">
      <c r="A33" s="19" t="s">
        <v>114</v>
      </c>
      <c r="B33" s="19"/>
      <c r="C33" s="15" t="n">
        <f aca="false">IFERROR(AVERAGE(C9:C12),0)</f>
        <v>0</v>
      </c>
      <c r="D33" s="20" t="str">
        <f aca="false">IF(C33=0,"Sin datos",IF(C33&gt;=3.5,"Pain ALTO",IF(C33&gt;=2.5,"Pain MEDIO","Pain BAJO")))</f>
        <v>Sin datos</v>
      </c>
      <c r="E33" s="20"/>
    </row>
    <row r="34" customFormat="false" ht="15" hidden="false" customHeight="true" outlineLevel="0" collapsed="false">
      <c r="A34" s="19" t="s">
        <v>115</v>
      </c>
      <c r="B34" s="19"/>
      <c r="C34" s="15" t="n">
        <f aca="false">IFERROR(AVERAGE(C15:C18,C21:C24,C27:C30),0)</f>
        <v>0</v>
      </c>
      <c r="D34" s="20" t="str">
        <f aca="false">IF(C34=0,"Sin datos",IF(C34&gt;=3.5,"Readiness ALTA",IF(C34&gt;=2.5,"Readiness MEDIA","Readiness BAJA")))</f>
        <v>Sin datos</v>
      </c>
      <c r="E34" s="20"/>
    </row>
    <row r="36" customFormat="false" ht="24" hidden="false" customHeight="true" outlineLevel="0" collapsed="false">
      <c r="A36" s="21" t="s">
        <v>116</v>
      </c>
      <c r="B36" s="22" t="str">
        <f aca="false">IF(OR(C33=0,C34=0),"Completa primero el cuestionario",IF(AND(C33&gt;=3.5,C34&gt;=3.5),"QUICK WIN PRIORITARIO — Avanzar ahora",IF(AND(C33&gt;=3.5,C34&lt;3.5),"INVERTIR EN HABILITADORES — Pain alto pero falta readiness",IF(AND(C33&lt;3.5,C34&gt;=3.5),"OPORTUNIDAD SIN URGENCIA — Capacidad sí, pain no","AÚN NO ES MOMENTO — Construir capacidad antes"))))</f>
        <v>Completa primero el cuestionario</v>
      </c>
      <c r="C36" s="22"/>
      <c r="D36" s="22"/>
      <c r="E36" s="22"/>
    </row>
    <row r="39" customFormat="false" ht="15" hidden="false" customHeight="true" outlineLevel="0" collapsed="false">
      <c r="A39" s="23" t="s">
        <v>117</v>
      </c>
    </row>
    <row r="40" customFormat="false" ht="15" hidden="false" customHeight="true" outlineLevel="0" collapsed="false">
      <c r="A40" s="23" t="s">
        <v>118</v>
      </c>
      <c r="B40" s="24" t="n">
        <f aca="false">IFERROR(AVERAGE(C9:C12),0)</f>
        <v>0</v>
      </c>
    </row>
    <row r="41" customFormat="false" ht="15" hidden="false" customHeight="true" outlineLevel="0" collapsed="false">
      <c r="A41" s="23" t="s">
        <v>119</v>
      </c>
      <c r="B41" s="24" t="n">
        <f aca="false">IFERROR(AVERAGE(C15:C18),0)</f>
        <v>0</v>
      </c>
    </row>
    <row r="42" customFormat="false" ht="15" hidden="false" customHeight="true" outlineLevel="0" collapsed="false">
      <c r="A42" s="23" t="s">
        <v>120</v>
      </c>
      <c r="B42" s="24" t="n">
        <f aca="false">IFERROR(AVERAGE(C21:C24),0)</f>
        <v>0</v>
      </c>
    </row>
    <row r="43" customFormat="false" ht="15" hidden="false" customHeight="true" outlineLevel="0" collapsed="false">
      <c r="A43" s="23" t="s">
        <v>121</v>
      </c>
      <c r="B43" s="24" t="n">
        <f aca="false">IFERROR(AVERAGE(C27:C30),0)</f>
        <v>0</v>
      </c>
    </row>
    <row r="46" customFormat="false" ht="21.75" hidden="false" customHeight="true" outlineLevel="0" collapsed="false">
      <c r="A46" s="18" t="s">
        <v>122</v>
      </c>
      <c r="B46" s="18"/>
      <c r="C46" s="18"/>
      <c r="D46" s="18"/>
      <c r="E46" s="18"/>
    </row>
    <row r="47" customFormat="false" ht="26.25" hidden="false" customHeight="true" outlineLevel="0" collapsed="false">
      <c r="B47" s="15" t="s">
        <v>123</v>
      </c>
      <c r="C47" s="15" t="s">
        <v>124</v>
      </c>
    </row>
    <row r="48" customFormat="false" ht="51.75" hidden="false" customHeight="true" outlineLevel="0" collapsed="false">
      <c r="A48" s="4" t="s">
        <v>125</v>
      </c>
      <c r="B48" s="25" t="s">
        <v>126</v>
      </c>
      <c r="C48" s="4" t="s">
        <v>127</v>
      </c>
    </row>
    <row r="49" customFormat="false" ht="51.75" hidden="false" customHeight="true" outlineLevel="0" collapsed="false">
      <c r="A49" s="4" t="s">
        <v>128</v>
      </c>
      <c r="B49" s="25" t="s">
        <v>129</v>
      </c>
      <c r="C49" s="25" t="s">
        <v>130</v>
      </c>
    </row>
  </sheetData>
  <mergeCells count="14">
    <mergeCell ref="A1:E1"/>
    <mergeCell ref="A2:E2"/>
    <mergeCell ref="B4:E4"/>
    <mergeCell ref="A8:E8"/>
    <mergeCell ref="A14:E14"/>
    <mergeCell ref="A20:E20"/>
    <mergeCell ref="A26:E26"/>
    <mergeCell ref="A32:E32"/>
    <mergeCell ref="A33:B33"/>
    <mergeCell ref="D33:E33"/>
    <mergeCell ref="A34:B34"/>
    <mergeCell ref="D34:E34"/>
    <mergeCell ref="B36:E36"/>
    <mergeCell ref="A46:E46"/>
  </mergeCells>
  <dataValidations count="1">
    <dataValidation allowBlank="true" errorStyle="stop" operator="between" showDropDown="false" showErrorMessage="false" showInputMessage="false" sqref="C9:C12 C15:C18 C21:C24 C27:C30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28"/>
  </cols>
  <sheetData>
    <row r="1" customFormat="false" ht="27.75" hidden="false" customHeight="true" outlineLevel="0" collapsed="false">
      <c r="A1" s="2" t="s">
        <v>131</v>
      </c>
      <c r="B1" s="2"/>
      <c r="C1" s="2"/>
      <c r="D1" s="2"/>
    </row>
    <row r="2" customFormat="false" ht="30" hidden="false" customHeight="true" outlineLevel="0" collapsed="false">
      <c r="A2" s="3" t="s">
        <v>132</v>
      </c>
      <c r="B2" s="3"/>
      <c r="C2" s="3"/>
      <c r="D2" s="3"/>
    </row>
    <row r="4" customFormat="false" ht="21.75" hidden="false" customHeight="true" outlineLevel="0" collapsed="false">
      <c r="A4" s="5" t="s">
        <v>133</v>
      </c>
      <c r="B4" s="5"/>
      <c r="C4" s="5"/>
      <c r="D4" s="5"/>
    </row>
    <row r="5" customFormat="false" ht="15" hidden="false" customHeight="true" outlineLevel="0" collapsed="false">
      <c r="A5" s="26" t="s">
        <v>134</v>
      </c>
      <c r="B5" s="26"/>
      <c r="C5" s="26"/>
      <c r="D5" s="26"/>
    </row>
    <row r="6" customFormat="false" ht="36" hidden="false" customHeight="true" outlineLevel="0" collapsed="false">
      <c r="A6" s="27" t="s">
        <v>135</v>
      </c>
      <c r="B6" s="27"/>
      <c r="C6" s="27"/>
      <c r="D6" s="27"/>
    </row>
    <row r="7" customFormat="false" ht="21.75" hidden="false" customHeight="true" outlineLevel="0" collapsed="false">
      <c r="A7" s="5" t="s">
        <v>136</v>
      </c>
      <c r="B7" s="5"/>
      <c r="C7" s="5"/>
      <c r="D7" s="5"/>
    </row>
    <row r="8" customFormat="false" ht="15" hidden="false" customHeight="true" outlineLevel="0" collapsed="false">
      <c r="A8" s="26" t="s">
        <v>137</v>
      </c>
      <c r="B8" s="26"/>
      <c r="C8" s="26"/>
      <c r="D8" s="26"/>
    </row>
    <row r="9" customFormat="false" ht="36" hidden="false" customHeight="true" outlineLevel="0" collapsed="false">
      <c r="A9" s="27" t="s">
        <v>138</v>
      </c>
      <c r="B9" s="27"/>
      <c r="C9" s="27"/>
      <c r="D9" s="27"/>
    </row>
    <row r="10" customFormat="false" ht="21.75" hidden="false" customHeight="true" outlineLevel="0" collapsed="false">
      <c r="A10" s="5" t="s">
        <v>139</v>
      </c>
      <c r="B10" s="5"/>
      <c r="C10" s="5"/>
      <c r="D10" s="5"/>
    </row>
    <row r="11" customFormat="false" ht="15" hidden="false" customHeight="true" outlineLevel="0" collapsed="false">
      <c r="A11" s="26" t="s">
        <v>140</v>
      </c>
      <c r="B11" s="26"/>
      <c r="C11" s="26"/>
      <c r="D11" s="26"/>
    </row>
    <row r="12" customFormat="false" ht="36" hidden="false" customHeight="true" outlineLevel="0" collapsed="false">
      <c r="A12" s="27" t="s">
        <v>141</v>
      </c>
      <c r="B12" s="27"/>
      <c r="C12" s="27"/>
      <c r="D12" s="27"/>
    </row>
    <row r="13" customFormat="false" ht="21.75" hidden="false" customHeight="true" outlineLevel="0" collapsed="false">
      <c r="A13" s="5" t="s">
        <v>142</v>
      </c>
      <c r="B13" s="5"/>
      <c r="C13" s="5"/>
      <c r="D13" s="5"/>
    </row>
    <row r="14" customFormat="false" ht="15" hidden="false" customHeight="true" outlineLevel="0" collapsed="false">
      <c r="A14" s="26" t="s">
        <v>143</v>
      </c>
      <c r="B14" s="26"/>
      <c r="C14" s="26"/>
      <c r="D14" s="26"/>
    </row>
    <row r="15" customFormat="false" ht="36" hidden="false" customHeight="true" outlineLevel="0" collapsed="false">
      <c r="A15" s="27" t="s">
        <v>144</v>
      </c>
      <c r="B15" s="27"/>
      <c r="C15" s="27"/>
      <c r="D15" s="27"/>
    </row>
    <row r="16" customFormat="false" ht="21.75" hidden="false" customHeight="true" outlineLevel="0" collapsed="false">
      <c r="A16" s="5" t="s">
        <v>145</v>
      </c>
      <c r="B16" s="5"/>
      <c r="C16" s="5"/>
      <c r="D16" s="5"/>
    </row>
    <row r="17" customFormat="false" ht="15" hidden="false" customHeight="true" outlineLevel="0" collapsed="false">
      <c r="A17" s="26" t="s">
        <v>146</v>
      </c>
      <c r="B17" s="26"/>
      <c r="C17" s="26"/>
      <c r="D17" s="26"/>
    </row>
    <row r="18" customFormat="false" ht="36" hidden="false" customHeight="true" outlineLevel="0" collapsed="false">
      <c r="A18" s="27" t="s">
        <v>147</v>
      </c>
      <c r="B18" s="27"/>
      <c r="C18" s="27"/>
      <c r="D18" s="27"/>
    </row>
    <row r="19" customFormat="false" ht="21.75" hidden="false" customHeight="true" outlineLevel="0" collapsed="false">
      <c r="A19" s="5" t="s">
        <v>148</v>
      </c>
      <c r="B19" s="5"/>
      <c r="C19" s="5"/>
      <c r="D19" s="5"/>
    </row>
    <row r="20" customFormat="false" ht="15" hidden="false" customHeight="true" outlineLevel="0" collapsed="false">
      <c r="A20" s="26" t="s">
        <v>149</v>
      </c>
      <c r="B20" s="26"/>
      <c r="C20" s="26"/>
      <c r="D20" s="26"/>
    </row>
    <row r="21" customFormat="false" ht="36" hidden="false" customHeight="true" outlineLevel="0" collapsed="false">
      <c r="A21" s="27" t="s">
        <v>150</v>
      </c>
      <c r="B21" s="27"/>
      <c r="C21" s="27"/>
      <c r="D21" s="27"/>
    </row>
    <row r="22" customFormat="false" ht="21.75" hidden="false" customHeight="true" outlineLevel="0" collapsed="false">
      <c r="A22" s="5" t="s">
        <v>151</v>
      </c>
      <c r="B22" s="5"/>
      <c r="C22" s="5"/>
      <c r="D22" s="5"/>
    </row>
    <row r="23" customFormat="false" ht="15" hidden="false" customHeight="true" outlineLevel="0" collapsed="false">
      <c r="A23" s="26" t="s">
        <v>152</v>
      </c>
      <c r="B23" s="26"/>
      <c r="C23" s="26"/>
      <c r="D23" s="26"/>
    </row>
    <row r="24" customFormat="false" ht="36" hidden="false" customHeight="true" outlineLevel="0" collapsed="false">
      <c r="A24" s="27" t="s">
        <v>153</v>
      </c>
      <c r="B24" s="27"/>
      <c r="C24" s="27"/>
      <c r="D24" s="27"/>
    </row>
    <row r="25" customFormat="false" ht="21.75" hidden="false" customHeight="true" outlineLevel="0" collapsed="false">
      <c r="A25" s="5" t="s">
        <v>154</v>
      </c>
      <c r="B25" s="5"/>
      <c r="C25" s="5"/>
      <c r="D25" s="5"/>
    </row>
    <row r="26" customFormat="false" ht="15" hidden="false" customHeight="true" outlineLevel="0" collapsed="false">
      <c r="A26" s="26" t="s">
        <v>155</v>
      </c>
      <c r="B26" s="26"/>
      <c r="C26" s="26"/>
      <c r="D26" s="26"/>
    </row>
    <row r="27" customFormat="false" ht="36" hidden="false" customHeight="true" outlineLevel="0" collapsed="false">
      <c r="A27" s="27" t="s">
        <v>156</v>
      </c>
      <c r="B27" s="27"/>
      <c r="C27" s="27"/>
      <c r="D27" s="27"/>
    </row>
    <row r="28" customFormat="false" ht="21.75" hidden="false" customHeight="true" outlineLevel="0" collapsed="false">
      <c r="A28" s="5" t="s">
        <v>157</v>
      </c>
      <c r="B28" s="5"/>
      <c r="C28" s="5"/>
      <c r="D28" s="5"/>
    </row>
    <row r="29" customFormat="false" ht="15" hidden="false" customHeight="true" outlineLevel="0" collapsed="false">
      <c r="A29" s="26" t="s">
        <v>158</v>
      </c>
      <c r="B29" s="26"/>
      <c r="C29" s="26"/>
      <c r="D29" s="26"/>
    </row>
    <row r="30" customFormat="false" ht="36" hidden="false" customHeight="true" outlineLevel="0" collapsed="false">
      <c r="A30" s="27" t="s">
        <v>159</v>
      </c>
      <c r="B30" s="27"/>
      <c r="C30" s="27"/>
      <c r="D30" s="27"/>
    </row>
    <row r="31" customFormat="false" ht="21.75" hidden="false" customHeight="true" outlineLevel="0" collapsed="false">
      <c r="A31" s="5" t="s">
        <v>160</v>
      </c>
      <c r="B31" s="5"/>
      <c r="C31" s="5"/>
      <c r="D31" s="5"/>
    </row>
    <row r="32" customFormat="false" ht="15" hidden="false" customHeight="true" outlineLevel="0" collapsed="false">
      <c r="A32" s="26" t="s">
        <v>161</v>
      </c>
      <c r="B32" s="26"/>
      <c r="C32" s="26"/>
      <c r="D32" s="26"/>
    </row>
    <row r="33" customFormat="false" ht="36" hidden="false" customHeight="true" outlineLevel="0" collapsed="false">
      <c r="A33" s="27" t="s">
        <v>162</v>
      </c>
      <c r="B33" s="27"/>
      <c r="C33" s="27"/>
      <c r="D33" s="27"/>
    </row>
    <row r="35" customFormat="false" ht="21.75" hidden="false" customHeight="true" outlineLevel="0" collapsed="false">
      <c r="A35" s="18" t="s">
        <v>163</v>
      </c>
      <c r="B35" s="18"/>
      <c r="C35" s="18"/>
      <c r="D35" s="18"/>
    </row>
    <row r="36" customFormat="false" ht="36" hidden="false" customHeight="true" outlineLevel="0" collapsed="false">
      <c r="A36" s="28" t="s">
        <v>164</v>
      </c>
      <c r="B36" s="28"/>
      <c r="C36" s="28"/>
      <c r="D36" s="28"/>
    </row>
  </sheetData>
  <mergeCells count="34">
    <mergeCell ref="A1:D1"/>
    <mergeCell ref="A2:D2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5:D35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0"/>
    <col collapsed="false" customWidth="true" hidden="false" outlineLevel="0" max="2" min="2" style="1" width="20"/>
    <col collapsed="false" customWidth="true" hidden="false" outlineLevel="0" max="3" min="3" style="1" width="38"/>
    <col collapsed="false" customWidth="true" hidden="false" outlineLevel="0" max="4" min="4" style="1" width="4"/>
  </cols>
  <sheetData>
    <row r="1" customFormat="false" ht="27.75" hidden="false" customHeight="true" outlineLevel="0" collapsed="false">
      <c r="A1" s="2" t="s">
        <v>165</v>
      </c>
      <c r="B1" s="2"/>
      <c r="C1" s="2"/>
      <c r="D1" s="2"/>
    </row>
    <row r="2" customFormat="false" ht="30" hidden="false" customHeight="true" outlineLevel="0" collapsed="false">
      <c r="A2" s="3" t="s">
        <v>166</v>
      </c>
      <c r="B2" s="3"/>
      <c r="C2" s="3"/>
      <c r="D2" s="3"/>
    </row>
    <row r="4" customFormat="false" ht="24" hidden="false" customHeight="true" outlineLevel="0" collapsed="false">
      <c r="A4" s="4" t="s">
        <v>167</v>
      </c>
      <c r="B4" s="4" t="s">
        <v>168</v>
      </c>
      <c r="C4" s="4" t="s">
        <v>169</v>
      </c>
    </row>
    <row r="5" customFormat="false" ht="21.75" hidden="false" customHeight="true" outlineLevel="0" collapsed="false">
      <c r="A5" s="5" t="s">
        <v>170</v>
      </c>
      <c r="B5" s="5"/>
      <c r="C5" s="5"/>
      <c r="D5" s="29"/>
    </row>
    <row r="6" customFormat="false" ht="27.75" hidden="false" customHeight="true" outlineLevel="0" collapsed="false">
      <c r="A6" s="30" t="s">
        <v>171</v>
      </c>
      <c r="B6" s="17"/>
      <c r="C6" s="30"/>
    </row>
    <row r="7" customFormat="false" ht="27.75" hidden="false" customHeight="true" outlineLevel="0" collapsed="false">
      <c r="A7" s="30" t="s">
        <v>172</v>
      </c>
      <c r="B7" s="17"/>
      <c r="C7" s="30"/>
    </row>
    <row r="8" customFormat="false" ht="27.75" hidden="false" customHeight="true" outlineLevel="0" collapsed="false">
      <c r="A8" s="30" t="s">
        <v>173</v>
      </c>
      <c r="B8" s="17"/>
      <c r="C8" s="30"/>
    </row>
    <row r="9" customFormat="false" ht="27.75" hidden="false" customHeight="true" outlineLevel="0" collapsed="false">
      <c r="A9" s="30" t="s">
        <v>174</v>
      </c>
      <c r="B9" s="17"/>
      <c r="C9" s="30"/>
    </row>
    <row r="10" customFormat="false" ht="21.75" hidden="false" customHeight="true" outlineLevel="0" collapsed="false">
      <c r="A10" s="5" t="s">
        <v>175</v>
      </c>
      <c r="B10" s="5"/>
      <c r="C10" s="5"/>
      <c r="D10" s="29"/>
    </row>
    <row r="11" customFormat="false" ht="27.75" hidden="false" customHeight="true" outlineLevel="0" collapsed="false">
      <c r="A11" s="30" t="s">
        <v>176</v>
      </c>
      <c r="B11" s="17"/>
      <c r="C11" s="30"/>
    </row>
    <row r="12" customFormat="false" ht="27.75" hidden="false" customHeight="true" outlineLevel="0" collapsed="false">
      <c r="A12" s="30" t="s">
        <v>177</v>
      </c>
      <c r="B12" s="17"/>
      <c r="C12" s="30"/>
    </row>
    <row r="13" customFormat="false" ht="27.75" hidden="false" customHeight="true" outlineLevel="0" collapsed="false">
      <c r="A13" s="30" t="s">
        <v>178</v>
      </c>
      <c r="B13" s="17"/>
      <c r="C13" s="30"/>
    </row>
    <row r="14" customFormat="false" ht="27.75" hidden="false" customHeight="true" outlineLevel="0" collapsed="false">
      <c r="A14" s="30" t="s">
        <v>179</v>
      </c>
      <c r="B14" s="17"/>
      <c r="C14" s="30"/>
    </row>
    <row r="15" customFormat="false" ht="21.75" hidden="false" customHeight="true" outlineLevel="0" collapsed="false">
      <c r="A15" s="5" t="s">
        <v>180</v>
      </c>
      <c r="B15" s="5"/>
      <c r="C15" s="5"/>
      <c r="D15" s="29"/>
    </row>
    <row r="16" customFormat="false" ht="27.75" hidden="false" customHeight="true" outlineLevel="0" collapsed="false">
      <c r="A16" s="30" t="s">
        <v>181</v>
      </c>
      <c r="B16" s="17"/>
      <c r="C16" s="30"/>
    </row>
    <row r="17" customFormat="false" ht="27.75" hidden="false" customHeight="true" outlineLevel="0" collapsed="false">
      <c r="A17" s="30" t="s">
        <v>182</v>
      </c>
      <c r="B17" s="17"/>
      <c r="C17" s="30"/>
    </row>
    <row r="18" customFormat="false" ht="27.75" hidden="false" customHeight="true" outlineLevel="0" collapsed="false">
      <c r="A18" s="30" t="s">
        <v>183</v>
      </c>
      <c r="B18" s="17"/>
      <c r="C18" s="30"/>
    </row>
    <row r="19" customFormat="false" ht="27.75" hidden="false" customHeight="true" outlineLevel="0" collapsed="false">
      <c r="A19" s="30" t="s">
        <v>184</v>
      </c>
      <c r="B19" s="17"/>
      <c r="C19" s="30"/>
    </row>
    <row r="20" customFormat="false" ht="21.75" hidden="false" customHeight="true" outlineLevel="0" collapsed="false">
      <c r="A20" s="5" t="s">
        <v>185</v>
      </c>
      <c r="B20" s="5"/>
      <c r="C20" s="5"/>
      <c r="D20" s="29"/>
    </row>
    <row r="21" customFormat="false" ht="27.75" hidden="false" customHeight="true" outlineLevel="0" collapsed="false">
      <c r="A21" s="30" t="s">
        <v>186</v>
      </c>
      <c r="B21" s="17"/>
      <c r="C21" s="30"/>
    </row>
    <row r="22" customFormat="false" ht="27.75" hidden="false" customHeight="true" outlineLevel="0" collapsed="false">
      <c r="A22" s="30" t="s">
        <v>187</v>
      </c>
      <c r="B22" s="17"/>
      <c r="C22" s="30"/>
    </row>
    <row r="23" customFormat="false" ht="27.75" hidden="false" customHeight="true" outlineLevel="0" collapsed="false">
      <c r="A23" s="30" t="s">
        <v>188</v>
      </c>
      <c r="B23" s="17"/>
      <c r="C23" s="30"/>
    </row>
    <row r="24" customFormat="false" ht="27.75" hidden="false" customHeight="true" outlineLevel="0" collapsed="false">
      <c r="A24" s="30" t="s">
        <v>189</v>
      </c>
      <c r="B24" s="17"/>
      <c r="C24" s="30"/>
    </row>
    <row r="25" customFormat="false" ht="21.75" hidden="false" customHeight="true" outlineLevel="0" collapsed="false">
      <c r="A25" s="5" t="s">
        <v>190</v>
      </c>
      <c r="B25" s="5"/>
      <c r="C25" s="5"/>
      <c r="D25" s="29"/>
    </row>
    <row r="26" customFormat="false" ht="27.75" hidden="false" customHeight="true" outlineLevel="0" collapsed="false">
      <c r="A26" s="30" t="s">
        <v>191</v>
      </c>
      <c r="B26" s="17"/>
      <c r="C26" s="30"/>
    </row>
    <row r="27" customFormat="false" ht="27.75" hidden="false" customHeight="true" outlineLevel="0" collapsed="false">
      <c r="A27" s="30" t="s">
        <v>192</v>
      </c>
      <c r="B27" s="17"/>
      <c r="C27" s="30"/>
    </row>
    <row r="28" customFormat="false" ht="27.75" hidden="false" customHeight="true" outlineLevel="0" collapsed="false">
      <c r="A28" s="30" t="s">
        <v>193</v>
      </c>
      <c r="B28" s="17"/>
      <c r="C28" s="30"/>
    </row>
    <row r="29" customFormat="false" ht="27.75" hidden="false" customHeight="true" outlineLevel="0" collapsed="false">
      <c r="A29" s="30" t="s">
        <v>194</v>
      </c>
      <c r="B29" s="17"/>
      <c r="C29" s="30"/>
    </row>
    <row r="31" customFormat="false" ht="24" hidden="false" customHeight="true" outlineLevel="0" collapsed="false">
      <c r="A31" s="18" t="s">
        <v>195</v>
      </c>
      <c r="B31" s="18"/>
      <c r="C31" s="18"/>
      <c r="D31" s="29"/>
    </row>
    <row r="32" customFormat="false" ht="15" hidden="false" customHeight="true" outlineLevel="0" collapsed="false">
      <c r="A32" s="12" t="s">
        <v>196</v>
      </c>
      <c r="B32" s="15" t="n">
        <f aca="false">COUNTIF(B6:B9,"Sí")+COUNTIF(B11:B14,"Sí")+COUNTIF(B16:B19,"Sí")+COUNTIF(B21:B24,"Sí")+COUNTIF(B26:B29,"Sí")</f>
        <v>0</v>
      </c>
    </row>
    <row r="33" customFormat="false" ht="15" hidden="false" customHeight="true" outlineLevel="0" collapsed="false">
      <c r="A33" s="12" t="s">
        <v>197</v>
      </c>
      <c r="B33" s="15" t="n">
        <f aca="false">COUNTIF(B6:B9,"Parcial")+COUNTIF(B11:B14,"Parcial")+COUNTIF(B16:B19,"Parcial")+COUNTIF(B21:B24,"Parcial")+COUNTIF(B26:B29,"Parcial")</f>
        <v>0</v>
      </c>
    </row>
    <row r="34" customFormat="false" ht="15" hidden="false" customHeight="true" outlineLevel="0" collapsed="false">
      <c r="A34" s="12" t="s">
        <v>198</v>
      </c>
      <c r="B34" s="15" t="n">
        <f aca="false">COUNTIF(B6:B9,"No")+COUNTIF(B11:B14,"No")+COUNTIF(B16:B19,"No")+COUNTIF(B21:B24,"No")+COUNTIF(B26:B29,"No")</f>
        <v>0</v>
      </c>
    </row>
    <row r="35" customFormat="false" ht="15" hidden="false" customHeight="true" outlineLevel="0" collapsed="false">
      <c r="A35" s="12" t="s">
        <v>199</v>
      </c>
      <c r="B35" s="15" t="n">
        <f aca="false">COUNTIF(B6:B9,"No aplica")+COUNTIF(B11:B14,"No aplica")+COUNTIF(B16:B19,"No aplica")+COUNTIF(B21:B24,"No aplica")+COUNTIF(B26:B29,"No aplica")</f>
        <v>0</v>
      </c>
    </row>
    <row r="37" customFormat="false" ht="15.75" hidden="false" customHeight="true" outlineLevel="0" collapsed="false">
      <c r="A37" s="21" t="s">
        <v>200</v>
      </c>
      <c r="B37" s="31" t="n">
        <f aca="false">IFERROR(((COUNTIF(B6:B9,"Sí")+COUNTIF(B11:B14,"Sí")+COUNTIF(B16:B19,"Sí")+COUNTIF(B21:B24,"Sí")+COUNTIF(B26:B29,"Sí"))+(COUNTIF(B6:B9,"Parcial")+COUNTIF(B11:B14,"Parcial")+COUNTIF(B16:B19,"Parcial")+COUNTIF(B21:B24,"Parcial")+COUNTIF(B26:B29,"Parcial"))*0.5)/((COUNTIF(B6:B9,"Sí")+COUNTIF(B11:B14,"Sí")+COUNTIF(B16:B19,"Sí")+COUNTIF(B21:B24,"Sí")+COUNTIF(B26:B29,"Sí"))+(COUNTIF(B6:B9,"Parcial")+COUNTIF(B11:B14,"Parcial")+COUNTIF(B16:B19,"Parcial")+COUNTIF(B21:B24,"Parcial")+COUNTIF(B26:B29,"Parcial"))+(COUNTIF(B6:B9,"No")+COUNTIF(B11:B14,"No")+COUNTIF(B16:B19,"No")+COUNTIF(B21:B24,"No")+COUNTIF(B26:B29,"No"))),0)</f>
        <v>0</v>
      </c>
    </row>
    <row r="39" customFormat="false" ht="36" hidden="false" customHeight="true" outlineLevel="0" collapsed="false">
      <c r="A39" s="21" t="s">
        <v>116</v>
      </c>
      <c r="B39" s="22" t="str">
        <f aca="false">IF(((COUNTIF(B6:B9,"Sí")+COUNTIF(B11:B14,"Sí")+COUNTIF(B16:B19,"Sí")+COUNTIF(B21:B24,"Sí")+COUNTIF(B26:B29,"Sí"))+(COUNTIF(B6:B9,"Parcial")+COUNTIF(B11:B14,"Parcial")+COUNTIF(B16:B19,"Parcial")+COUNTIF(B21:B24,"Parcial")+COUNTIF(B26:B29,"Parcial"))+(COUNTIF(B6:B9,"No")+COUNTIF(B11:B14,"No")+COUNTIF(B16:B19,"No")+COUNTIF(B21:B24,"No")+COUNTIF(B26:B29,"No")))=0,"Completa los habilitadores",IF(B37&gt;=0.7,"READY — Avanzar a casos GenAI/Agentic con confianza",IF(B37&gt;=0.4,"PARCIALMENTE READY — Empezar por Quick Wins de GenAI","NO READY — Invertir 3-6 meses en habilitadores antes de IA")))</f>
        <v>Completa los habilitadores</v>
      </c>
      <c r="C39" s="22"/>
      <c r="D39" s="22"/>
    </row>
  </sheetData>
  <mergeCells count="9">
    <mergeCell ref="A1:D1"/>
    <mergeCell ref="A2:D2"/>
    <mergeCell ref="A5:C5"/>
    <mergeCell ref="A10:C10"/>
    <mergeCell ref="A15:C15"/>
    <mergeCell ref="A20:C20"/>
    <mergeCell ref="A25:C25"/>
    <mergeCell ref="A31:C31"/>
    <mergeCell ref="B39:D39"/>
  </mergeCells>
  <dataValidations count="1">
    <dataValidation allowBlank="true" errorStyle="stop" operator="between" showDropDown="false" showErrorMessage="false" showInputMessage="false" sqref="B6:B9 B11:B14 B16:B19 B21:B24 B26:B29" type="list">
      <formula1>"Sí,Parcial,No,No aplica"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2026-05-04T12:17:39Z</dcterms:created>
  <dc:creator>openpyxl</dc:creator>
  <dc:description/>
  <dc:language>en-US</dc:language>
  <cp:lastModifiedBy/>
  <dcterms:modified xsi:type="dcterms:W3CDTF">2026-05-04T12:20:00Z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