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atalog" sheetId="1" state="visible" r:id="rId3"/>
    <sheet name=" Questionnaire" sheetId="2" state="visible" r:id="rId4"/>
    <sheet name=" Canvas" sheetId="3" state="visible" r:id="rId5"/>
    <sheet name=" Sales Stack Matur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<sst xmlns="http://schemas.openxmlformats.org/spreadsheetml/2006/main" count="248" uniqueCount="226">
  <si>
    <t xml:space="preserve"> Use case catalog · Sales (complex B2B)</t>
  </si>
  <si>
    <t xml:space="preserve"> 15 cases organized into 5 stages of the sales funnel. Mark in the last column those that apply.</t>
  </si>
  <si>
    <t xml:space="preserve"> #</t>
  </si>
  <si>
    <t xml:space="preserve"> Use case</t>
  </si>
  <si>
    <t xml:space="preserve"> Description</t>
  </si>
  <si>
    <t xml:space="preserve"> AI Family</t>
  </si>
  <si>
    <t xml:space="preserve"> Typical KPI</t>
  </si>
  <si>
    <t xml:space="preserve"> Required data</t>
  </si>
  <si>
    <t xml:space="preserve"> Effort</t>
  </si>
  <si>
    <t xml:space="preserve"> Maturity (1-5)</t>
  </si>
  <si>
    <t xml:space="preserve"> Compliance / Risk</t>
  </si>
  <si>
    <t xml:space="preserve"> Does it apply?</t>
  </si>
  <si>
    <t xml:space="preserve"> Grades</t>
  </si>
  <si>
    <t xml:space="preserve"> STAGE 1 — LEAD GENERATION AND QUALIFICATION</t>
  </si>
  <si>
    <t xml:space="preserve"> Predictive lead scoring</t>
  </si>
  <si>
    <t xml:space="preserve"> Assign conversion probability scores to each lead based on demographic, firmographic, behavioral attributes and historical database patterns.</t>
  </si>
  <si>
    <t xml:space="preserve"> Classic ML</t>
  </si>
  <si>
    <t xml:space="preserve"> MQL→SQL conversion rate, SDR time savings, pipeline quality</t>
  </si>
  <si>
    <t xml:space="preserve"> Historical record of leads with outcome, attributes, web/email behavior</t>
  </si>
  <si>
    <t xml:space="preserve"> Quick Win</t>
  </si>
  <si>
    <t xml:space="preserve"> Bias in scoring; explainability for reps; fairness audit.</t>
  </si>
  <si>
    <t xml:space="preserve">Automatic lead and account enrichment</t>
  </si>
  <si>
    <t xml:space="preserve"> Complete lead and account information from public sources (LinkedIn, corporate sites, news) and commercial databases, normalizing and deduplicating.</t>
  </si>
  <si>
    <t xml:space="preserve"> ML + GenAI</t>
  </si>
  <si>
    <t xml:space="preserve"> CRM data quality, SDR productivity, response rate</t>
  </si>
  <si>
    <t xml:space="preserve"> Partial CRM data, public sources, commercial APIs</t>
  </si>
  <si>
    <t xml:space="preserve"> Data privacy; compliance with GDPR/local regulations; veracity of sources.</t>
  </si>
  <si>
    <t xml:space="preserve"> Account-based intelligence (target accounts)</t>
  </si>
  <si>
    <t xml:space="preserve"> Identify accounts most likely to become ideal customers (ICPs) based on intent signals, profile fit, and similarity to acquired customers.</t>
  </si>
  <si>
    <t xml:space="preserve"> Classic ML + intent data</t>
  </si>
  <si>
    <t xml:space="preserve"> Hit rate on accounts worked, prospecting efficiency, ABM pipeline size</t>
  </si>
  <si>
    <t xml:space="preserve"> ICP defined, account database, intent signals (third parties), win/loss history</t>
  </si>
  <si>
    <t xml:space="preserve"> Medium</t>
  </si>
  <si>
    <t xml:space="preserve"> Signal quality; bias towards previously acquired customers; list governance.</t>
  </si>
  <si>
    <t xml:space="preserve">STAGE 2 — ACCOUNT AND PIPELINE INTELLIGENCE</t>
  </si>
  <si>
    <t xml:space="preserve"> Conversational intelligence</t>
  </si>
  <si>
    <t xml:space="preserve"> Transcribe, analyze, and summarize calls and sales meetings. Detect key mentions, objections, competitors, and opportunities. Automated rep coaching.</t>
  </si>
  <si>
    <t xml:space="preserve"> GenAI + ML</t>
  </si>
  <si>
    <t xml:space="preserve"> Rep administrative time, quality of notes in CRM, improvement of close rate</t>
  </si>
  <si>
    <t xml:space="preserve"> Recordings/transcripts of calls and meetings (with consent)</t>
  </si>
  <si>
    <t xml:space="preserve"> Privacy and consent for recording; regional compliance; ethical use of coaching.</t>
  </si>
  <si>
    <t xml:space="preserve"> Closure probability prediction</t>
  </si>
  <si>
    <t xml:space="preserve"> Predictive model that estimates the actual probability of winning each opportunity in the pipeline, with an explanation of the factors that move the probability.</t>
  </si>
  <si>
    <t xml:space="preserve"> Forecast accuracy, early identification of deals at risk, win rate</t>
  </si>
  <si>
    <t xml:space="preserve"> Historical record of opportunities with outcome, attributes, and associated activity</t>
  </si>
  <si>
    <t xml:space="preserve"> Model calibration; explainability for the rep; bias towards won deals.</t>
  </si>
  <si>
    <t xml:space="preserve"> Detection of pipeline at risk (deal health)</t>
  </si>
  <si>
    <t xml:space="preserve">It monitors active opportunities and alerts when a deal shows signs of stagnation, loss of momentum, or leakage to the competitor.</t>
  </si>
  <si>
    <t xml:space="preserve"> ML + rules</t>
  </si>
  <si>
    <t xml:space="preserve"> Recovery rate of deals at risk, slippage reduction, win rate</t>
  </si>
  <si>
    <t xml:space="preserve"> Active pipeline, activity cadence, external buyer signals</t>
  </si>
  <si>
    <t xml:space="preserve"> False positives; overload of the rep; explainability of the identified risk.</t>
  </si>
  <si>
    <t xml:space="preserve"> STAGE 3 — BUYER'S COMMITMENT</t>
  </si>
  <si>
    <t xml:space="preserve"> Real-time co-pilot for the salesperson</t>
  </si>
  <si>
    <t xml:space="preserve"> An assistant that suggests answers, data, similar cases, and next-best-actions during a call or live exchange with the buyer.</t>
  </si>
  <si>
    <t xml:space="preserve"> GenAI / RAG</t>
  </si>
  <si>
    <t xml:space="preserve"> AHT in complex interactions, FCR of objections, rep productivity</t>
  </si>
  <si>
    <t xml:space="preserve"> Product knowledge base, previous cases, account profile</t>
  </si>
  <si>
    <t xml:space="preserve"> Risk of hallucination; human review; traceability of suggestions.</t>
  </si>
  <si>
    <t xml:space="preserve"> Generation of personalized emails and messages</t>
  </si>
  <si>
    <t xml:space="preserve">Automatic draft of prospecting, follow-up and nurturing emails, personalized with context from the account and the moment of the conversation.</t>
  </si>
  <si>
    <t xml:space="preserve"> GenAI</t>
  </si>
  <si>
    <t xml:space="preserve"> Outreach volume per rep, response rate, productivity</t>
  </si>
  <si>
    <t xml:space="preserve"> Templates, account profile, conversation history</t>
  </si>
  <si>
    <t xml:space="preserve"> Human approval before shipment; inconsistent quality; compliance with anti-spam clauses.</t>
  </si>
  <si>
    <t xml:space="preserve"> Conversational Assistant / Standalone SDR (partial)</t>
  </si>
  <si>
    <t xml:space="preserve"> Conversational agent that maintains the first exchange with inbound and outbound leads, qualifies, schedules meetings and refers to the human rep when appropriate.</t>
  </si>
  <si>
    <t xml:space="preserve"> GenAI / Agents</t>
  </si>
  <si>
    <t xml:space="preserve"> Volume of leads handled without rep, booking rate, cost per meeting</t>
  </si>
  <si>
    <t xml:space="preserve"> Templates, rating criteria, CRM and calendar integration</t>
  </si>
  <si>
    <t xml:space="preserve"> Transparency (informing that it is AI); risk of hallucination; human scaling.</t>
  </si>
  <si>
    <t xml:space="preserve"> STAGE 4 — PROPOSAL AND CLOSURE</t>
  </si>
  <si>
    <t xml:space="preserve"> Automatic generation of sales proposals</t>
  </si>
  <si>
    <t xml:space="preserve">Build draft proposals and responses to RFPs based on account information, product portfolio, and similar previous proposals.</t>
  </si>
  <si>
    <t xml:space="preserve"> Time to first proposal, team productivity, RFP win rate</t>
  </si>
  <si>
    <t xml:space="preserve"> Proposal templates, product catalog, historical proposals</t>
  </si>
  <si>
    <t xml:space="preserve"> Mandatory human review; commercial consistency; version control.</t>
  </si>
  <si>
    <t xml:space="preserve"> Dynamic pricing and price guidance</t>
  </si>
  <si>
    <t xml:space="preserve"> Recommend optimal price or discount range per opportunity based on historical elasticity, account characteristics, competitor, and expected win rate.</t>
  </si>
  <si>
    <t xml:space="preserve"> Average margin, win rate, reduction of unjustified discounts</t>
  </si>
  <si>
    <t xml:space="preserve"> Historical pricing and outcomes, account characteristics, competition</t>
  </si>
  <si>
    <t xml:space="preserve"> Transparency of the decision; regulatory compliance (anti-discrimination); approval of the representative.</t>
  </si>
  <si>
    <t xml:space="preserve"> Generating draft commercial contracts</t>
  </si>
  <si>
    <t xml:space="preserve">Auto-generates first versions of MSAs, SOWs and NDAs from deal templates and parameters, with risk clause marking.</t>
  </si>
  <si>
    <t xml:space="preserve"> Contract time, legal productivity, version errors</t>
  </si>
  <si>
    <t xml:space="preserve"> Approved legal templates, deal parameters, counterparty</t>
  </si>
  <si>
    <t xml:space="preserve"> Mandatory legal review; version control; traceability.</t>
  </si>
  <si>
    <t xml:space="preserve"> STAGE 5 — AFTER-SALES AND ACCOUNT GROWTH</t>
  </si>
  <si>
    <t xml:space="preserve"> Commercial churn prediction</t>
  </si>
  <si>
    <t xml:space="preserve"> Models the probability of non-renewal or loss of account based on usage patterns, business health, and service interactions.</t>
  </si>
  <si>
    <t xml:space="preserve"> Retention rate, CLV savings, recovery of at-risk accounts</t>
  </si>
  <si>
    <t xml:space="preserve"> Usage data, service interactions, renewal history</t>
  </si>
  <si>
    <t xml:space="preserve"> Customer decision; transparency with the service team; explainability.</t>
  </si>
  <si>
    <t xml:space="preserve"> Identifying cross-sell and upsell opportunities</t>
  </si>
  <si>
    <t xml:space="preserve">It detects accounts with a high probability of adopting additional products or expanding contracts, based on usage patterns and similarity to accounts that have grown.</t>
  </si>
  <si>
    <t xml:space="preserve"> Number Revenue Per Account (NRR), average upsell size, hit rate</t>
  </si>
  <si>
    <t xml:space="preserve"> Usage history, expansion, account features</t>
  </si>
  <si>
    <t xml:space="preserve"> Quality of the recommendation; coordination with account managers.</t>
  </si>
  <si>
    <t xml:space="preserve"> Account health and predictive NPS</t>
  </si>
  <si>
    <t xml:space="preserve"> Calculate the health score of each account by combining usage, satisfaction, interactions, customer financial health, and identified risks. Anticipate risks before the formal NPS.</t>
  </si>
  <si>
    <t xml:space="preserve"> Negative accounts recovered, detection time, actual NPS</t>
  </si>
  <si>
    <t xml:space="preserve"> Usage data, service tickets, surveys, customer financial data</t>
  </si>
  <si>
    <t xml:space="preserve"> Customer data privacy; ethical use; transparency.</t>
  </si>
  <si>
    <t xml:space="preserve"> SUMMARY OF SELECTIONS</t>
  </si>
  <si>
    <t xml:space="preserve"> Cases marked "Yes":</t>
  </si>
  <si>
    <t xml:space="preserve"> Cases marked "Maybe":</t>
  </si>
  <si>
    <t xml:space="preserve"> Total candidates (Yes + Maybe):</t>
  </si>
  <si>
    <t xml:space="preserve"> Self-assessment questionnaire · B2B Sales</t>
  </si>
  <si>
    <t xml:space="preserve">16 questions in 4 blocks. Scale 1-5. Automatically calculates Pain × Readiness with recommendation.</t>
  </si>
  <si>
    <t xml:space="preserve"> Scale:</t>
  </si>
  <si>
    <t xml:space="preserve"> 1 = does not exist / very low · 2 = low · 3 = medium · 4 = high · 5 = systematic / very high</t>
  </si>
  <si>
    <t xml:space="preserve"> Ask</t>
  </si>
  <si>
    <t xml:space="preserve"> Score (1-5)</t>
  </si>
  <si>
    <t xml:space="preserve"> BLOCK A — Commercial Pain</t>
  </si>
  <si>
    <t xml:space="preserve"> A1</t>
  </si>
  <si>
    <t xml:space="preserve"> The percentage of wasted leads (no contact, poorly qualified, no follow-up) is:</t>
  </si>
  <si>
    <t xml:space="preserve"> A2</t>
  </si>
  <si>
    <t xml:space="preserve"> The monthly/quarterly business forecast error we have today is:</t>
  </si>
  <si>
    <t xml:space="preserve"> A3</t>
  </si>
  <si>
    <t xml:space="preserve"> The administrative time of the rep (notes, CRM, proposals) versus the time with the client is:</t>
  </si>
  <si>
    <t xml:space="preserve"> A4</t>
  </si>
  <si>
    <t xml:space="preserve"> The commercial churn/non-renewal rate is:</t>
  </si>
  <si>
    <t xml:space="preserve"> BLOCK B — Commercial Data Readiness</t>
  </si>
  <si>
    <t xml:space="preserve"> B1</t>
  </si>
  <si>
    <t xml:space="preserve"> We have a unique corporate CRM with over 80% adoption by salespeople:</t>
  </si>
  <si>
    <t xml:space="preserve"> B2</t>
  </si>
  <si>
    <t xml:space="preserve"> Business activities (calls, emails, meetings) are systematically recorded:</t>
  </si>
  <si>
    <t xml:space="preserve"> B3</t>
  </si>
  <si>
    <t xml:space="preserve"> We have a history of at least 12 months of opportunities with their outcome (won/lost):</t>
  </si>
  <si>
    <t xml:space="preserve"> B4</t>
  </si>
  <si>
    <t xml:space="preserve">Commercial calls are recorded/transcribed with consent:</t>
  </si>
  <si>
    <t xml:space="preserve"> BLOCK C — Sales Team Readiness</t>
  </si>
  <si>
    <t xml:space="preserve"> C1</t>
  </si>
  <si>
    <t xml:space="preserve"> The VP/Commercial Director is open to incorporating AI and sponsors the initiative:</t>
  </si>
  <si>
    <t xml:space="preserve"> C2</t>
  </si>
  <si>
    <t xml:space="preserve"> There are technology champions (RevOps, Sales Ops) on the sales team:</t>
  </si>
  <si>
    <t xml:space="preserve"> C3</t>
  </si>
  <si>
    <t xml:space="preserve"> Reps accept digital tools and change their behavior if they see value:</t>
  </si>
  <si>
    <t xml:space="preserve"> C4</t>
  </si>
  <si>
    <t xml:space="preserve"> The team has successfully completed business transformation projects:</t>
  </si>
  <si>
    <t xml:space="preserve"> BLOCK D — Strategic Alignment</t>
  </si>
  <si>
    <t xml:space="preserve"> D1</t>
  </si>
  <si>
    <t xml:space="preserve"> We have explicit goals for win rate, productivity per rep, NRR, or CAC reduction:</t>
  </si>
  <si>
    <t xml:space="preserve"> D2</t>
  </si>
  <si>
    <t xml:space="preserve"> There is a reasonable budget to invest in revtech/AI in the next 12 months:</t>
  </si>
  <si>
    <t xml:space="preserve"> D3</t>
  </si>
  <si>
    <t xml:space="preserve"> Applicable regulations allow us to use AI with prospect and customer data:</t>
  </si>
  <si>
    <t xml:space="preserve"> D4</t>
  </si>
  <si>
    <t xml:space="preserve"> There is a clear business case for impact on revenue, margin, or commercial efficiency:</t>
  </si>
  <si>
    <t xml:space="preserve"> RESULTS</t>
  </si>
  <si>
    <t xml:space="preserve"> Pain score (Block A):</t>
  </si>
  <si>
    <t xml:space="preserve">Readiness score (Blocks B + C + D):</t>
  </si>
  <si>
    <t xml:space="preserve"> RECOMMENDATION:</t>
  </si>
  <si>
    <t xml:space="preserve"> 2×2 Matrix — Pain × Readiness</t>
  </si>
  <si>
    <t xml:space="preserve"> Readiness LOW (&lt; 3.5)</t>
  </si>
  <si>
    <t xml:space="preserve"> Readiness HIGH (≥ 3.5)</t>
  </si>
  <si>
    <t xml:space="preserve"> High Pain (≥ 3.5)</t>
  </si>
  <si>
    <t xml:space="preserve"> Invest in trading stack first</t>
  </si>
  <si>
    <t xml:space="preserve"> PRIORITY QUICK WIN</t>
  </si>
  <si>
    <t xml:space="preserve"> LOW Pain (&lt; 3.5)</t>
  </si>
  <si>
    <t xml:space="preserve"> It's not time yet.</t>
  </si>
  <si>
    <t xml:space="preserve"> Opportunity without urgency</t>
  </si>
  <si>
    <t xml:space="preserve"> Opportunity Canvas · B2B Sales</t>
  </si>
  <si>
    <t xml:space="preserve"> Document a specific opportunity. Replace the italicized text. Output ready for Module 2.</t>
  </si>
  <si>
    <t xml:space="preserve"> 1. Case Name</t>
  </si>
  <si>
    <t xml:space="preserve"> Prompt: ≤ 8 words</t>
  </si>
  <si>
    <t xml:space="preserve"> e.g. Lead scoring for the financial vertical</t>
  </si>
  <si>
    <t xml:space="preserve"> 2. Specific pain point</t>
  </si>
  <si>
    <t xml:space="preserve"> Prompt: Today our sales team suffers X when Y</t>
  </si>
  <si>
    <t xml:space="preserve"> For example, today our 12 SDRs work on ~3,000 leads/month with an 8% SQL conversion rate, spending 60% of their time on leads that will never convert.</t>
  </si>
  <si>
    <t xml:space="preserve"> 3. Frequency and volume</t>
  </si>
  <si>
    <t xml:space="preserve"> Prompt: How many leads/opportunities/accounts does it affect per month?</t>
  </si>
  <si>
    <t xml:space="preserve">Example: 3,000 inbound leads/month; 12 SDRs and 25 AEs affected; monthly pipeline of USD 4M at stake.</t>
  </si>
  <si>
    <t xml:space="preserve"> 4. Estimated cost of pain</t>
  </si>
  <si>
    <t xml:space="preserve"> Prompt: USD/month in direct cost + lost opportunity</t>
  </si>
  <si>
    <t xml:space="preserve"> E.g. 60% of SDR time = USD 50K/month in cost; lost opportunities due to not prioritizing well = USD 200K/month in unworked pipeline.</t>
  </si>
  <si>
    <t xml:space="preserve"> 5. Primary KPI to move</t>
  </si>
  <si>
    <t xml:space="preserve"> Prompt: Specific indicator and direction</t>
  </si>
  <si>
    <t xml:space="preserve"> E.g. MQL→SQL rate (from 8% to 16%); productivity per SDR (+30%); win rate per qualified opportunity (+5pp).</t>
  </si>
  <si>
    <t xml:space="preserve"> 6. Expected magnitude of change</t>
  </si>
  <si>
    <t xml:space="preserve"> Prompt: From X to Y, on what horizon</t>
  </si>
  <si>
    <t xml:space="preserve"> E.g. Double conversion rate to SQL in 6 months; recover investment in month 4; +USD 1.5M ARR over 12 months.</t>
  </si>
  <si>
    <t xml:space="preserve"> 7. Available data</t>
  </si>
  <si>
    <t xml:space="preserve"> Prompt: CRM, external sources, quality, gaps</t>
  </si>
  <si>
    <t xml:space="preserve"> E.g. CRM with 18 months of leads (HubSpot), outcome documented in 80% of opportunities, intent data from a third-party provider, without automatic enrichment.</t>
  </si>
  <si>
    <t xml:space="preserve"> 8. Hypothetical AI Family</t>
  </si>
  <si>
    <t xml:space="preserve">Prompt: Rules / Classical ML / GenAI / Hybrid (Module 4)</t>
  </si>
  <si>
    <t xml:space="preserve"> E.g. Classic supervised ML (gradient boosting) with SHAP explainability; native integration with CRM.</t>
  </si>
  <si>
    <t xml:space="preserve"> 9. Visible risks</t>
  </si>
  <si>
    <t xml:space="preserve"> Prompt: Adoption of the rep, bias, regulation, data dependence</t>
  </si>
  <si>
    <t xml:space="preserve"> E.g. Initial resistance from senior SDRs; bias towards historically won verticals; GDPR compliance for EU lead enrichment.</t>
  </si>
  <si>
    <t xml:space="preserve"> 10. Case Sponsor</t>
  </si>
  <si>
    <t xml:space="preserve"> Prompt: Name and role of the commercial sponsor</t>
  </si>
  <si>
    <t xml:space="preserve"> E.g. VP Sales, Andrea Morales, with the support of the CRO.</t>
  </si>
  <si>
    <t xml:space="preserve"> OUTPUT — Case Summary for Module 2</t>
  </si>
  <si>
    <t xml:space="preserve"> Once you have completed all 10 fields, copy the content into the Module 2 template. Before doing so, check the AI Sales Stack Maturity tab to ensure that the sales stack supports the chosen scenario.</t>
  </si>
  <si>
    <t xml:space="preserve"> AI Sales Stack Maturity · Sales stack diagnosis</t>
  </si>
  <si>
    <t xml:space="preserve">How ready is your business stack for AI initiatives? Mark the current status of each capability. The sheet automatically calculates a score and provides recommendations.</t>
  </si>
  <si>
    <t xml:space="preserve"> Capability / Enabler</t>
  </si>
  <si>
    <t xml:space="preserve"> State</t>
  </si>
  <si>
    <t xml:space="preserve"> Comment</t>
  </si>
  <si>
    <t xml:space="preserve"> A. CRM AND BUSINESS DATA</t>
  </si>
  <si>
    <t xml:space="preserve"> We have a unique corporate CRM with over 80% adoption by salespeople</t>
  </si>
  <si>
    <t xml:space="preserve"> Sales activities (calls, emails, meetings) are systematically recorded in CRM</t>
  </si>
  <si>
    <t xml:space="preserve"> We have a history of at least 12 months of opportunities, accounts, and contacts</t>
  </si>
  <si>
    <t xml:space="preserve"> The CRM data quality is reasonable (no more than 20% duplicates, missing data)</t>
  </si>
  <si>
    <t xml:space="preserve"> B. DEFINITIONS AND BUSINESS PROCESSES</t>
  </si>
  <si>
    <t xml:space="preserve"> MQL and SQL are defined with clear criteria and applied consistently.</t>
  </si>
  <si>
    <t xml:space="preserve"> The sales funnel is documented with clear stages and measurable progress.</t>
  </si>
  <si>
    <t xml:space="preserve"> There is a documented and operational ICP (Ideal Customer Profile)</t>
  </si>
  <si>
    <t xml:space="preserve"> The product/commercial offer taxonomy is standardized</t>
  </si>
  <si>
    <t xml:space="preserve"> C. COMMERCIAL TECHNOLOGY STACK</t>
  </si>
  <si>
    <t xml:space="preserve">There is a marketing automation system connected to the CRM</t>
  </si>
  <si>
    <t xml:space="preserve"> Commercial calls are recorded (with consent) and/or are in the system</t>
  </si>
  <si>
    <t xml:space="preserve"> There are integrations between CRM, ERP, and billing systems</t>
  </si>
  <si>
    <t xml:space="preserve"> Document management exists for proposals and contracts.</t>
  </si>
  <si>
    <t xml:space="preserve"> D. CULTURE AND COMMERCIAL GOVERNMENT</t>
  </si>
  <si>
    <t xml:space="preserve"> Business leaders make decisions based on CRM data, not just intuition.</t>
  </si>
  <si>
    <t xml:space="preserve"> The sales forecast is built from the CRM and compared with the actual results.</t>
  </si>
  <si>
    <t xml:space="preserve"> There is a culture of coaching and pipeline opportunity review.</t>
  </si>
  <si>
    <t xml:space="preserve"> STACK MATURITY SUMMARY AND SCORE</t>
  </si>
  <si>
    <t xml:space="preserve"> Capabilities marked "Yes":</t>
  </si>
  <si>
    <t xml:space="preserve"> Partial exams:</t>
  </si>
  <si>
    <t xml:space="preserve"> We do not have:</t>
  </si>
  <si>
    <t xml:space="preserve"> Not applicable:</t>
  </si>
  <si>
    <t xml:space="preserve"> STACK MATURITY SALES SCORE: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</si>
</sst>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7791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2"/>
      <color rgb="FFB91C1C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sz val="11"/>
      <color rgb="FF2D2D2D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1"/>
      <color rgb="FF2D2D2D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B7791F"/>
      <name val="Arial"/>
      <family val="0"/>
      <charset val="1"/>
    </font>
    <font>
      <b val="true"/>
      <sz val="13"/>
      <color rgb="FFB91C1C"/>
      <name val="Arial"/>
      <family val="0"/>
      <charset val="1"/>
    </font>
    <font>
      <sz val="13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1F3A5F"/>
        <bgColor rgb="FF2D2D2D"/>
      </patternFill>
    </fill>
    <fill>
      <patternFill patternType="solid">
        <fgColor rgb="FFFFF8DC"/>
        <bgColor rgb="FFFFF4D6"/>
      </patternFill>
    </fill>
    <fill>
      <patternFill patternType="solid">
        <fgColor rgb="FFE8F4E8"/>
        <bgColor rgb="FFE8EEF4"/>
      </patternFill>
    </fill>
    <fill>
      <patternFill patternType="solid">
        <fgColor rgb="FFFDE7E9"/>
        <bgColor rgb="FFFFF4D6"/>
      </patternFill>
    </fill>
    <fill>
      <patternFill patternType="solid">
        <fgColor rgb="FFDCEEDC"/>
        <bgColor rgb="FFE8F4E8"/>
      </patternFill>
    </fill>
    <fill>
      <patternFill patternType="solid">
        <fgColor rgb="FFFFF4D6"/>
        <bgColor rgb="FFFFF8DC"/>
      </patternFill>
    </fill>
    <fill>
      <patternFill patternType="solid">
        <fgColor rgb="FFF7F9FB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/>
      <top style="thin">
        <color rgb="FF1F3A5F"/>
      </top>
      <bottom style="thin">
        <color rgb="FF1F3A5F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FF8DC"/>
      <rgbColor rgb="FFE8F4E8"/>
      <rgbColor rgb="FF660066"/>
      <rgbColor rgb="FFFF8080"/>
      <rgbColor rgb="FF0066CC"/>
      <rgbColor rgb="FFF7F9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CEEDC"/>
      <rgbColor rgb="FFFFF4D6"/>
      <rgbColor rgb="FF99CCFF"/>
      <rgbColor rgb="FFFF99CC"/>
      <rgbColor rgb="FFCC99FF"/>
      <rgbColor rgb="FFFDE7E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7D32"/>
      <rgbColor rgb="FF003300"/>
      <rgbColor rgb="FF333300"/>
      <rgbColor rgb="FFB9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5.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79.5" hidden="false" customHeight="true" outlineLevel="0" collapsed="false">
      <c r="A6" s="5" t="n">
        <v>1</v>
      </c>
      <c r="B6" s="6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8" t="s">
        <v>19</v>
      </c>
      <c r="H6" s="9" t="n">
        <v>5</v>
      </c>
      <c r="I6" s="7" t="s">
        <v>20</v>
      </c>
      <c r="J6" s="10"/>
      <c r="K6" s="11"/>
    </row>
    <row r="7" customFormat="false" ht="79.5" hidden="false" customHeight="true" outlineLevel="0" collapsed="false">
      <c r="A7" s="5" t="n">
        <v>2</v>
      </c>
      <c r="B7" s="6" t="s">
        <v>21</v>
      </c>
      <c r="C7" s="7" t="s">
        <v>22</v>
      </c>
      <c r="D7" s="7" t="s">
        <v>23</v>
      </c>
      <c r="E7" s="7" t="s">
        <v>24</v>
      </c>
      <c r="F7" s="7" t="s">
        <v>25</v>
      </c>
      <c r="G7" s="8" t="s">
        <v>19</v>
      </c>
      <c r="H7" s="9" t="n">
        <v>5</v>
      </c>
      <c r="I7" s="7" t="s">
        <v>26</v>
      </c>
      <c r="J7" s="10"/>
      <c r="K7" s="11"/>
    </row>
    <row r="8" customFormat="false" ht="79.5" hidden="false" customHeight="true" outlineLevel="0" collapsed="false">
      <c r="A8" s="5" t="n">
        <v>3</v>
      </c>
      <c r="B8" s="6" t="s">
        <v>27</v>
      </c>
      <c r="C8" s="7" t="s">
        <v>28</v>
      </c>
      <c r="D8" s="7" t="s">
        <v>29</v>
      </c>
      <c r="E8" s="7" t="s">
        <v>30</v>
      </c>
      <c r="F8" s="7" t="s">
        <v>31</v>
      </c>
      <c r="G8" s="8" t="s">
        <v>32</v>
      </c>
      <c r="H8" s="9" t="n">
        <v>4</v>
      </c>
      <c r="I8" s="7" t="s">
        <v>33</v>
      </c>
      <c r="J8" s="10"/>
      <c r="K8" s="11"/>
    </row>
    <row r="9" customFormat="false" ht="25.5" hidden="false" customHeight="true" outlineLevel="0" collapsed="false">
      <c r="A9" s="4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79.5" hidden="false" customHeight="true" outlineLevel="0" collapsed="false">
      <c r="A10" s="5" t="n">
        <v>4</v>
      </c>
      <c r="B10" s="6" t="s">
        <v>35</v>
      </c>
      <c r="C10" s="7" t="s">
        <v>36</v>
      </c>
      <c r="D10" s="7" t="s">
        <v>37</v>
      </c>
      <c r="E10" s="7" t="s">
        <v>38</v>
      </c>
      <c r="F10" s="7" t="s">
        <v>39</v>
      </c>
      <c r="G10" s="8" t="s">
        <v>19</v>
      </c>
      <c r="H10" s="9" t="n">
        <v>5</v>
      </c>
      <c r="I10" s="7" t="s">
        <v>40</v>
      </c>
      <c r="J10" s="10"/>
      <c r="K10" s="11"/>
    </row>
    <row r="11" customFormat="false" ht="79.5" hidden="false" customHeight="true" outlineLevel="0" collapsed="false">
      <c r="A11" s="5" t="n">
        <v>5</v>
      </c>
      <c r="B11" s="6" t="s">
        <v>41</v>
      </c>
      <c r="C11" s="7" t="s">
        <v>42</v>
      </c>
      <c r="D11" s="7" t="s">
        <v>16</v>
      </c>
      <c r="E11" s="7" t="s">
        <v>43</v>
      </c>
      <c r="F11" s="7" t="s">
        <v>44</v>
      </c>
      <c r="G11" s="8" t="s">
        <v>32</v>
      </c>
      <c r="H11" s="9" t="n">
        <v>5</v>
      </c>
      <c r="I11" s="7" t="s">
        <v>45</v>
      </c>
      <c r="J11" s="10"/>
      <c r="K11" s="11"/>
    </row>
    <row r="12" customFormat="false" ht="79.5" hidden="false" customHeight="true" outlineLevel="0" collapsed="false">
      <c r="A12" s="5" t="n">
        <v>6</v>
      </c>
      <c r="B12" s="6" t="s">
        <v>46</v>
      </c>
      <c r="C12" s="7" t="s">
        <v>47</v>
      </c>
      <c r="D12" s="7" t="s">
        <v>48</v>
      </c>
      <c r="E12" s="7" t="s">
        <v>49</v>
      </c>
      <c r="F12" s="7" t="s">
        <v>50</v>
      </c>
      <c r="G12" s="8" t="s">
        <v>32</v>
      </c>
      <c r="H12" s="9" t="n">
        <v>4</v>
      </c>
      <c r="I12" s="7" t="s">
        <v>51</v>
      </c>
      <c r="J12" s="10"/>
      <c r="K12" s="11"/>
    </row>
    <row r="13" customFormat="false" ht="25.5" hidden="false" customHeight="true" outlineLevel="0" collapsed="false">
      <c r="A13" s="4" t="s">
        <v>52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79.5" hidden="false" customHeight="true" outlineLevel="0" collapsed="false">
      <c r="A14" s="5" t="n">
        <v>7</v>
      </c>
      <c r="B14" s="6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8" t="s">
        <v>32</v>
      </c>
      <c r="H14" s="9" t="n">
        <v>4</v>
      </c>
      <c r="I14" s="7" t="s">
        <v>58</v>
      </c>
      <c r="J14" s="10"/>
      <c r="K14" s="11"/>
    </row>
    <row r="15" customFormat="false" ht="79.5" hidden="false" customHeight="true" outlineLevel="0" collapsed="false">
      <c r="A15" s="5" t="n">
        <v>8</v>
      </c>
      <c r="B15" s="6" t="s">
        <v>59</v>
      </c>
      <c r="C15" s="7" t="s">
        <v>60</v>
      </c>
      <c r="D15" s="7" t="s">
        <v>61</v>
      </c>
      <c r="E15" s="7" t="s">
        <v>62</v>
      </c>
      <c r="F15" s="7" t="s">
        <v>63</v>
      </c>
      <c r="G15" s="8" t="s">
        <v>19</v>
      </c>
      <c r="H15" s="9" t="n">
        <v>5</v>
      </c>
      <c r="I15" s="7" t="s">
        <v>64</v>
      </c>
      <c r="J15" s="10"/>
      <c r="K15" s="11"/>
    </row>
    <row r="16" customFormat="false" ht="79.5" hidden="false" customHeight="true" outlineLevel="0" collapsed="false">
      <c r="A16" s="5" t="n">
        <v>9</v>
      </c>
      <c r="B16" s="6" t="s">
        <v>65</v>
      </c>
      <c r="C16" s="7" t="s">
        <v>66</v>
      </c>
      <c r="D16" s="7" t="s">
        <v>67</v>
      </c>
      <c r="E16" s="7" t="s">
        <v>68</v>
      </c>
      <c r="F16" s="7" t="s">
        <v>69</v>
      </c>
      <c r="G16" s="8" t="s">
        <v>32</v>
      </c>
      <c r="H16" s="9" t="n">
        <v>3</v>
      </c>
      <c r="I16" s="7" t="s">
        <v>70</v>
      </c>
      <c r="J16" s="10"/>
      <c r="K16" s="11"/>
    </row>
    <row r="17" customFormat="false" ht="25.5" hidden="false" customHeight="true" outlineLevel="0" collapsed="false">
      <c r="A17" s="4" t="s">
        <v>71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79.5" hidden="false" customHeight="true" outlineLevel="0" collapsed="false">
      <c r="A18" s="5" t="n">
        <v>10</v>
      </c>
      <c r="B18" s="6" t="s">
        <v>72</v>
      </c>
      <c r="C18" s="7" t="s">
        <v>73</v>
      </c>
      <c r="D18" s="7" t="s">
        <v>61</v>
      </c>
      <c r="E18" s="7" t="s">
        <v>74</v>
      </c>
      <c r="F18" s="7" t="s">
        <v>75</v>
      </c>
      <c r="G18" s="8" t="s">
        <v>19</v>
      </c>
      <c r="H18" s="9" t="n">
        <v>4</v>
      </c>
      <c r="I18" s="7" t="s">
        <v>76</v>
      </c>
      <c r="J18" s="10"/>
      <c r="K18" s="11"/>
    </row>
    <row r="19" customFormat="false" ht="79.5" hidden="false" customHeight="true" outlineLevel="0" collapsed="false">
      <c r="A19" s="5" t="n">
        <v>11</v>
      </c>
      <c r="B19" s="6" t="s">
        <v>77</v>
      </c>
      <c r="C19" s="7" t="s">
        <v>78</v>
      </c>
      <c r="D19" s="7" t="s">
        <v>16</v>
      </c>
      <c r="E19" s="7" t="s">
        <v>79</v>
      </c>
      <c r="F19" s="7" t="s">
        <v>80</v>
      </c>
      <c r="G19" s="8" t="s">
        <v>32</v>
      </c>
      <c r="H19" s="9" t="n">
        <v>4</v>
      </c>
      <c r="I19" s="7" t="s">
        <v>81</v>
      </c>
      <c r="J19" s="10"/>
      <c r="K19" s="11"/>
    </row>
    <row r="20" customFormat="false" ht="79.5" hidden="false" customHeight="true" outlineLevel="0" collapsed="false">
      <c r="A20" s="5" t="n">
        <v>12</v>
      </c>
      <c r="B20" s="6" t="s">
        <v>82</v>
      </c>
      <c r="C20" s="7" t="s">
        <v>83</v>
      </c>
      <c r="D20" s="7" t="s">
        <v>61</v>
      </c>
      <c r="E20" s="7" t="s">
        <v>84</v>
      </c>
      <c r="F20" s="7" t="s">
        <v>85</v>
      </c>
      <c r="G20" s="8" t="s">
        <v>19</v>
      </c>
      <c r="H20" s="9" t="n">
        <v>4</v>
      </c>
      <c r="I20" s="7" t="s">
        <v>86</v>
      </c>
      <c r="J20" s="10"/>
      <c r="K20" s="11"/>
    </row>
    <row r="21" customFormat="false" ht="25.5" hidden="false" customHeight="true" outlineLevel="0" collapsed="false">
      <c r="A21" s="4" t="s">
        <v>87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79.5" hidden="false" customHeight="true" outlineLevel="0" collapsed="false">
      <c r="A22" s="5" t="n">
        <v>13</v>
      </c>
      <c r="B22" s="6" t="s">
        <v>88</v>
      </c>
      <c r="C22" s="7" t="s">
        <v>89</v>
      </c>
      <c r="D22" s="7" t="s">
        <v>16</v>
      </c>
      <c r="E22" s="7" t="s">
        <v>90</v>
      </c>
      <c r="F22" s="7" t="s">
        <v>91</v>
      </c>
      <c r="G22" s="8" t="s">
        <v>32</v>
      </c>
      <c r="H22" s="9" t="n">
        <v>5</v>
      </c>
      <c r="I22" s="7" t="s">
        <v>92</v>
      </c>
      <c r="J22" s="10"/>
      <c r="K22" s="11"/>
    </row>
    <row r="23" customFormat="false" ht="79.5" hidden="false" customHeight="true" outlineLevel="0" collapsed="false">
      <c r="A23" s="5" t="n">
        <v>14</v>
      </c>
      <c r="B23" s="6" t="s">
        <v>93</v>
      </c>
      <c r="C23" s="7" t="s">
        <v>94</v>
      </c>
      <c r="D23" s="7" t="s">
        <v>16</v>
      </c>
      <c r="E23" s="7" t="s">
        <v>95</v>
      </c>
      <c r="F23" s="7" t="s">
        <v>96</v>
      </c>
      <c r="G23" s="8" t="s">
        <v>32</v>
      </c>
      <c r="H23" s="9" t="n">
        <v>5</v>
      </c>
      <c r="I23" s="7" t="s">
        <v>97</v>
      </c>
      <c r="J23" s="10"/>
      <c r="K23" s="11"/>
    </row>
    <row r="24" customFormat="false" ht="79.5" hidden="false" customHeight="true" outlineLevel="0" collapsed="false">
      <c r="A24" s="5" t="n">
        <v>15</v>
      </c>
      <c r="B24" s="6" t="s">
        <v>98</v>
      </c>
      <c r="C24" s="7" t="s">
        <v>99</v>
      </c>
      <c r="D24" s="7" t="s">
        <v>23</v>
      </c>
      <c r="E24" s="7" t="s">
        <v>100</v>
      </c>
      <c r="F24" s="7" t="s">
        <v>101</v>
      </c>
      <c r="G24" s="8" t="s">
        <v>32</v>
      </c>
      <c r="H24" s="9" t="n">
        <v>4</v>
      </c>
      <c r="I24" s="7" t="s">
        <v>102</v>
      </c>
      <c r="J24" s="10"/>
      <c r="K24" s="11"/>
    </row>
    <row r="26" customFormat="false" ht="15" hidden="false" customHeight="false" outlineLevel="0" collapsed="false">
      <c r="A26" s="12" t="s">
        <v>103</v>
      </c>
      <c r="B26" s="12"/>
      <c r="C26" s="12"/>
      <c r="D26" s="12"/>
    </row>
    <row r="27" customFormat="false" ht="17.35" hidden="false" customHeight="false" outlineLevel="0" collapsed="false">
      <c r="A27" s="13" t="s">
        <v>104</v>
      </c>
      <c r="B27" s="14" t="n">
        <f aca="false">COUNTIF(J5:J24,"Sí")</f>
        <v>0</v>
      </c>
    </row>
    <row r="28" customFormat="false" ht="17.35" hidden="false" customHeight="false" outlineLevel="0" collapsed="false">
      <c r="A28" s="13" t="s">
        <v>105</v>
      </c>
      <c r="B28" s="15" t="n">
        <f aca="false">COUNTIF(J5:J24,"Tal vez")</f>
        <v>0</v>
      </c>
    </row>
    <row r="29" customFormat="false" ht="17.35" hidden="false" customHeight="false" outlineLevel="0" collapsed="false">
      <c r="A29" s="16" t="s">
        <v>106</v>
      </c>
      <c r="B29" s="17" t="n">
        <f aca="false">COUNTIF(J5:J24,"Sí")+COUNTIF(J5:J24,"Tal vez")</f>
        <v>0</v>
      </c>
    </row>
  </sheetData>
  <mergeCells count="8">
    <mergeCell ref="A1:K1"/>
    <mergeCell ref="A2:K2"/>
    <mergeCell ref="A5:K5"/>
    <mergeCell ref="A9:K9"/>
    <mergeCell ref="A13:K13"/>
    <mergeCell ref="A17:K17"/>
    <mergeCell ref="A21:K21"/>
    <mergeCell ref="A26:D26"/>
  </mergeCells>
  <dataValidations count="1">
    <dataValidation allowBlank="true" errorStyle="stop" operator="between" showDropDown="false" showErrorMessage="false" showInputMessage="false" sqref="J5:J24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107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108</v>
      </c>
      <c r="B2" s="2"/>
      <c r="C2" s="2"/>
      <c r="D2" s="2"/>
      <c r="E2" s="2"/>
    </row>
    <row r="4" customFormat="false" ht="15" hidden="false" customHeight="false" outlineLevel="0" collapsed="false">
      <c r="A4" s="16" t="s">
        <v>109</v>
      </c>
      <c r="B4" s="18" t="s">
        <v>110</v>
      </c>
      <c r="C4" s="18"/>
      <c r="D4" s="18"/>
      <c r="E4" s="18"/>
    </row>
    <row r="6" customFormat="false" ht="15" hidden="false" customHeight="false" outlineLevel="0" collapsed="false">
      <c r="A6" s="3" t="s">
        <v>2</v>
      </c>
      <c r="B6" s="3" t="s">
        <v>111</v>
      </c>
      <c r="C6" s="3" t="s">
        <v>112</v>
      </c>
    </row>
    <row r="8" customFormat="false" ht="15" hidden="false" customHeight="false" outlineLevel="0" collapsed="false">
      <c r="A8" s="19" t="s">
        <v>113</v>
      </c>
      <c r="B8" s="19"/>
      <c r="C8" s="19"/>
    </row>
    <row r="9" customFormat="false" ht="30" hidden="false" customHeight="true" outlineLevel="0" collapsed="false">
      <c r="A9" s="20" t="s">
        <v>114</v>
      </c>
      <c r="B9" s="21" t="s">
        <v>115</v>
      </c>
      <c r="C9" s="22"/>
    </row>
    <row r="10" customFormat="false" ht="30" hidden="false" customHeight="true" outlineLevel="0" collapsed="false">
      <c r="A10" s="20" t="s">
        <v>116</v>
      </c>
      <c r="B10" s="21" t="s">
        <v>117</v>
      </c>
      <c r="C10" s="22"/>
    </row>
    <row r="11" customFormat="false" ht="30" hidden="false" customHeight="true" outlineLevel="0" collapsed="false">
      <c r="A11" s="20" t="s">
        <v>118</v>
      </c>
      <c r="B11" s="21" t="s">
        <v>119</v>
      </c>
      <c r="C11" s="22"/>
    </row>
    <row r="12" customFormat="false" ht="30" hidden="false" customHeight="true" outlineLevel="0" collapsed="false">
      <c r="A12" s="20" t="s">
        <v>120</v>
      </c>
      <c r="B12" s="21" t="s">
        <v>121</v>
      </c>
      <c r="C12" s="22"/>
    </row>
    <row r="14" customFormat="false" ht="15" hidden="false" customHeight="false" outlineLevel="0" collapsed="false">
      <c r="A14" s="23" t="s">
        <v>122</v>
      </c>
      <c r="B14" s="23"/>
      <c r="C14" s="23"/>
    </row>
    <row r="15" customFormat="false" ht="30" hidden="false" customHeight="true" outlineLevel="0" collapsed="false">
      <c r="A15" s="24" t="s">
        <v>123</v>
      </c>
      <c r="B15" s="21" t="s">
        <v>124</v>
      </c>
      <c r="C15" s="22"/>
    </row>
    <row r="16" customFormat="false" ht="30" hidden="false" customHeight="true" outlineLevel="0" collapsed="false">
      <c r="A16" s="24" t="s">
        <v>125</v>
      </c>
      <c r="B16" s="21" t="s">
        <v>126</v>
      </c>
      <c r="C16" s="22"/>
    </row>
    <row r="17" customFormat="false" ht="30" hidden="false" customHeight="true" outlineLevel="0" collapsed="false">
      <c r="A17" s="24" t="s">
        <v>127</v>
      </c>
      <c r="B17" s="21" t="s">
        <v>128</v>
      </c>
      <c r="C17" s="22"/>
    </row>
    <row r="18" customFormat="false" ht="30" hidden="false" customHeight="true" outlineLevel="0" collapsed="false">
      <c r="A18" s="24" t="s">
        <v>129</v>
      </c>
      <c r="B18" s="21" t="s">
        <v>130</v>
      </c>
      <c r="C18" s="22"/>
    </row>
    <row r="20" customFormat="false" ht="15" hidden="false" customHeight="false" outlineLevel="0" collapsed="false">
      <c r="A20" s="23" t="s">
        <v>131</v>
      </c>
      <c r="B20" s="23"/>
      <c r="C20" s="23"/>
    </row>
    <row r="21" customFormat="false" ht="30" hidden="false" customHeight="true" outlineLevel="0" collapsed="false">
      <c r="A21" s="24" t="s">
        <v>132</v>
      </c>
      <c r="B21" s="21" t="s">
        <v>133</v>
      </c>
      <c r="C21" s="22"/>
    </row>
    <row r="22" customFormat="false" ht="30" hidden="false" customHeight="true" outlineLevel="0" collapsed="false">
      <c r="A22" s="24" t="s">
        <v>134</v>
      </c>
      <c r="B22" s="21" t="s">
        <v>135</v>
      </c>
      <c r="C22" s="22"/>
    </row>
    <row r="23" customFormat="false" ht="30" hidden="false" customHeight="true" outlineLevel="0" collapsed="false">
      <c r="A23" s="24" t="s">
        <v>136</v>
      </c>
      <c r="B23" s="21" t="s">
        <v>137</v>
      </c>
      <c r="C23" s="22"/>
    </row>
    <row r="24" customFormat="false" ht="30" hidden="false" customHeight="true" outlineLevel="0" collapsed="false">
      <c r="A24" s="24" t="s">
        <v>138</v>
      </c>
      <c r="B24" s="21" t="s">
        <v>139</v>
      </c>
      <c r="C24" s="22"/>
    </row>
    <row r="26" customFormat="false" ht="15" hidden="false" customHeight="false" outlineLevel="0" collapsed="false">
      <c r="A26" s="23" t="s">
        <v>140</v>
      </c>
      <c r="B26" s="23"/>
      <c r="C26" s="23"/>
    </row>
    <row r="27" customFormat="false" ht="30" hidden="false" customHeight="true" outlineLevel="0" collapsed="false">
      <c r="A27" s="24" t="s">
        <v>141</v>
      </c>
      <c r="B27" s="21" t="s">
        <v>142</v>
      </c>
      <c r="C27" s="22"/>
    </row>
    <row r="28" customFormat="false" ht="30" hidden="false" customHeight="true" outlineLevel="0" collapsed="false">
      <c r="A28" s="24" t="s">
        <v>143</v>
      </c>
      <c r="B28" s="21" t="s">
        <v>144</v>
      </c>
      <c r="C28" s="22"/>
    </row>
    <row r="29" customFormat="false" ht="30" hidden="false" customHeight="true" outlineLevel="0" collapsed="false">
      <c r="A29" s="24" t="s">
        <v>145</v>
      </c>
      <c r="B29" s="21" t="s">
        <v>146</v>
      </c>
      <c r="C29" s="22"/>
    </row>
    <row r="30" customFormat="false" ht="30" hidden="false" customHeight="true" outlineLevel="0" collapsed="false">
      <c r="A30" s="24" t="s">
        <v>147</v>
      </c>
      <c r="B30" s="21" t="s">
        <v>148</v>
      </c>
      <c r="C30" s="22"/>
    </row>
    <row r="33" customFormat="false" ht="16.15" hidden="false" customHeight="false" outlineLevel="0" collapsed="false">
      <c r="A33" s="25" t="s">
        <v>149</v>
      </c>
      <c r="B33" s="25"/>
      <c r="C33" s="25"/>
    </row>
    <row r="34" customFormat="false" ht="19.7" hidden="false" customHeight="false" outlineLevel="0" collapsed="false">
      <c r="A34" s="26" t="s">
        <v>150</v>
      </c>
      <c r="B34" s="27" t="n">
        <f aca="false">IFERROR(AVERAGE(C9:C12),0)</f>
        <v>0</v>
      </c>
      <c r="C34" s="28" t="str">
        <f aca="false">IF(B34=0,"Sin datos",IF(B34&gt;=3.5,"Pain ALTO",IF(B34&gt;=2.5,"Pain MEDIO","Pain BAJO")))</f>
        <v>No data</v>
      </c>
    </row>
    <row r="35" customFormat="false" ht="19.7" hidden="false" customHeight="false" outlineLevel="0" collapsed="false">
      <c r="A35" s="26" t="s">
        <v>151</v>
      </c>
      <c r="B35" s="29" t="n">
        <f aca="false">IFERROR(AVERAGE(C15:C18,C21:C24,C27:C30),0)</f>
        <v>0</v>
      </c>
      <c r="C35" s="28" t="str">
        <f aca="false">IF(B35=0,"Sin datos",IF(B35&gt;=3.5,"Readiness ALTA",IF(B35&gt;=2.5,"Readiness MEDIA","Readiness BAJA")))</f>
        <v> No data</v>
      </c>
    </row>
    <row r="37" customFormat="false" ht="39.75" hidden="false" customHeight="true" outlineLevel="0" collapsed="false">
      <c r="A37" s="30" t="s">
        <v>152</v>
      </c>
      <c r="B37" s="31" t="str">
        <f aca="false">IF(OR(B34=0,B35=0),"Completa primero el cuestionario",IF(AND(B34&gt;=3.5,B35&gt;=3.5),"QUICK WIN PRIORITARIO — Avanzar ahora",IF(AND(B34&gt;=3.5,B35&lt;3.5),"INVERTIR EN STACK COMERCIAL PRIMERO — Pain alto pero falta readiness (revisa pestaña AI Sales Stack Maturity)",IF(AND(B34&lt;3.5,B35&gt;=3.5),"OPORTUNIDAD SIN URGENCIA — Capacidad sí, pain no","AÚN NO ES MOMENTO — Construir capacidad antes (revisa pestaña AI Sales Stack Maturity)"))))</f>
        <v> First, complete the questionnaire.</v>
      </c>
      <c r="C37" s="31"/>
    </row>
    <row r="40" customFormat="false" ht="16.15" hidden="false" customHeight="false" outlineLevel="0" collapsed="false">
      <c r="A40" s="25" t="s">
        <v>153</v>
      </c>
      <c r="B40" s="25"/>
      <c r="C40" s="25"/>
    </row>
    <row r="41" customFormat="false" ht="15" hidden="false" customHeight="false" outlineLevel="0" collapsed="false">
      <c r="B41" s="3" t="s">
        <v>154</v>
      </c>
      <c r="C41" s="3" t="s">
        <v>155</v>
      </c>
    </row>
    <row r="42" customFormat="false" ht="30" hidden="false" customHeight="true" outlineLevel="0" collapsed="false">
      <c r="A42" s="3" t="s">
        <v>156</v>
      </c>
      <c r="B42" s="32" t="s">
        <v>157</v>
      </c>
      <c r="C42" s="33" t="s">
        <v>158</v>
      </c>
    </row>
    <row r="43" customFormat="false" ht="30" hidden="false" customHeight="true" outlineLevel="0" collapsed="false">
      <c r="A43" s="3" t="s">
        <v>159</v>
      </c>
      <c r="B43" s="34" t="s">
        <v>160</v>
      </c>
      <c r="C43" s="35" t="s">
        <v>161</v>
      </c>
    </row>
  </sheetData>
  <mergeCells count="10">
    <mergeCell ref="A1:E1"/>
    <mergeCell ref="A2:E2"/>
    <mergeCell ref="B4:E4"/>
    <mergeCell ref="A8:C8"/>
    <mergeCell ref="A14:C14"/>
    <mergeCell ref="A20:C20"/>
    <mergeCell ref="A26:C26"/>
    <mergeCell ref="A33:C33"/>
    <mergeCell ref="B37:C37"/>
    <mergeCell ref="A40:C40"/>
  </mergeCells>
  <dataValidations count="1">
    <dataValidation allowBlank="true" error="Ingresa un valor entre 1 y 5" errorStyle="stop" errorTitle="Valor inválido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1" t="s">
        <v>162</v>
      </c>
      <c r="B1" s="1"/>
      <c r="C1" s="1"/>
      <c r="D1" s="1"/>
    </row>
    <row r="2" customFormat="false" ht="15" hidden="false" customHeight="false" outlineLevel="0" collapsed="false">
      <c r="A2" s="2" t="s">
        <v>163</v>
      </c>
      <c r="B2" s="2"/>
      <c r="C2" s="2"/>
      <c r="D2" s="2"/>
    </row>
    <row r="4" customFormat="false" ht="15" hidden="false" customHeight="true" outlineLevel="0" collapsed="false">
      <c r="A4" s="36" t="s">
        <v>164</v>
      </c>
      <c r="B4" s="36"/>
      <c r="C4" s="36"/>
      <c r="D4" s="36"/>
    </row>
    <row r="5" customFormat="false" ht="15" hidden="false" customHeight="true" outlineLevel="0" collapsed="false">
      <c r="A5" s="37" t="s">
        <v>165</v>
      </c>
      <c r="B5" s="37"/>
      <c r="C5" s="37"/>
      <c r="D5" s="37"/>
    </row>
    <row r="6" customFormat="false" ht="37.5" hidden="false" customHeight="true" outlineLevel="0" collapsed="false">
      <c r="A6" s="38" t="s">
        <v>166</v>
      </c>
      <c r="B6" s="38"/>
      <c r="C6" s="38"/>
      <c r="D6" s="38"/>
    </row>
    <row r="7" customFormat="false" ht="15" hidden="false" customHeight="true" outlineLevel="0" collapsed="false">
      <c r="A7" s="36" t="s">
        <v>167</v>
      </c>
      <c r="B7" s="36"/>
      <c r="C7" s="36"/>
      <c r="D7" s="36"/>
    </row>
    <row r="8" customFormat="false" ht="15" hidden="false" customHeight="true" outlineLevel="0" collapsed="false">
      <c r="A8" s="37" t="s">
        <v>168</v>
      </c>
      <c r="B8" s="37"/>
      <c r="C8" s="37"/>
      <c r="D8" s="37"/>
    </row>
    <row r="9" customFormat="false" ht="37.5" hidden="false" customHeight="true" outlineLevel="0" collapsed="false">
      <c r="A9" s="38" t="s">
        <v>169</v>
      </c>
      <c r="B9" s="38"/>
      <c r="C9" s="38"/>
      <c r="D9" s="38"/>
    </row>
    <row r="10" customFormat="false" ht="15" hidden="false" customHeight="true" outlineLevel="0" collapsed="false">
      <c r="A10" s="36" t="s">
        <v>170</v>
      </c>
      <c r="B10" s="36"/>
      <c r="C10" s="36"/>
      <c r="D10" s="36"/>
    </row>
    <row r="11" customFormat="false" ht="15" hidden="false" customHeight="true" outlineLevel="0" collapsed="false">
      <c r="A11" s="37" t="s">
        <v>171</v>
      </c>
      <c r="B11" s="37"/>
      <c r="C11" s="37"/>
      <c r="D11" s="37"/>
    </row>
    <row r="12" customFormat="false" ht="37.5" hidden="false" customHeight="true" outlineLevel="0" collapsed="false">
      <c r="A12" s="38" t="s">
        <v>172</v>
      </c>
      <c r="B12" s="38"/>
      <c r="C12" s="38"/>
      <c r="D12" s="38"/>
    </row>
    <row r="13" customFormat="false" ht="15" hidden="false" customHeight="true" outlineLevel="0" collapsed="false">
      <c r="A13" s="36" t="s">
        <v>173</v>
      </c>
      <c r="B13" s="36"/>
      <c r="C13" s="36"/>
      <c r="D13" s="36"/>
    </row>
    <row r="14" customFormat="false" ht="15" hidden="false" customHeight="true" outlineLevel="0" collapsed="false">
      <c r="A14" s="37" t="s">
        <v>174</v>
      </c>
      <c r="B14" s="37"/>
      <c r="C14" s="37"/>
      <c r="D14" s="37"/>
    </row>
    <row r="15" customFormat="false" ht="37.5" hidden="false" customHeight="true" outlineLevel="0" collapsed="false">
      <c r="A15" s="38" t="s">
        <v>175</v>
      </c>
      <c r="B15" s="38"/>
      <c r="C15" s="38"/>
      <c r="D15" s="38"/>
    </row>
    <row r="16" customFormat="false" ht="15" hidden="false" customHeight="true" outlineLevel="0" collapsed="false">
      <c r="A16" s="36" t="s">
        <v>176</v>
      </c>
      <c r="B16" s="36"/>
      <c r="C16" s="36"/>
      <c r="D16" s="36"/>
    </row>
    <row r="17" customFormat="false" ht="15" hidden="false" customHeight="true" outlineLevel="0" collapsed="false">
      <c r="A17" s="37" t="s">
        <v>177</v>
      </c>
      <c r="B17" s="37"/>
      <c r="C17" s="37"/>
      <c r="D17" s="37"/>
    </row>
    <row r="18" customFormat="false" ht="37.5" hidden="false" customHeight="true" outlineLevel="0" collapsed="false">
      <c r="A18" s="38" t="s">
        <v>178</v>
      </c>
      <c r="B18" s="38"/>
      <c r="C18" s="38"/>
      <c r="D18" s="38"/>
    </row>
    <row r="19" customFormat="false" ht="15" hidden="false" customHeight="true" outlineLevel="0" collapsed="false">
      <c r="A19" s="36" t="s">
        <v>179</v>
      </c>
      <c r="B19" s="36"/>
      <c r="C19" s="36"/>
      <c r="D19" s="36"/>
    </row>
    <row r="20" customFormat="false" ht="15" hidden="false" customHeight="true" outlineLevel="0" collapsed="false">
      <c r="A20" s="37" t="s">
        <v>180</v>
      </c>
      <c r="B20" s="37"/>
      <c r="C20" s="37"/>
      <c r="D20" s="37"/>
    </row>
    <row r="21" customFormat="false" ht="37.5" hidden="false" customHeight="true" outlineLevel="0" collapsed="false">
      <c r="A21" s="38" t="s">
        <v>181</v>
      </c>
      <c r="B21" s="38"/>
      <c r="C21" s="38"/>
      <c r="D21" s="38"/>
    </row>
    <row r="22" customFormat="false" ht="15" hidden="false" customHeight="true" outlineLevel="0" collapsed="false">
      <c r="A22" s="36" t="s">
        <v>182</v>
      </c>
      <c r="B22" s="36"/>
      <c r="C22" s="36"/>
      <c r="D22" s="36"/>
    </row>
    <row r="23" customFormat="false" ht="15" hidden="false" customHeight="true" outlineLevel="0" collapsed="false">
      <c r="A23" s="37" t="s">
        <v>183</v>
      </c>
      <c r="B23" s="37"/>
      <c r="C23" s="37"/>
      <c r="D23" s="37"/>
    </row>
    <row r="24" customFormat="false" ht="37.5" hidden="false" customHeight="true" outlineLevel="0" collapsed="false">
      <c r="A24" s="38" t="s">
        <v>184</v>
      </c>
      <c r="B24" s="38"/>
      <c r="C24" s="38"/>
      <c r="D24" s="38"/>
    </row>
    <row r="25" customFormat="false" ht="15" hidden="false" customHeight="true" outlineLevel="0" collapsed="false">
      <c r="A25" s="36" t="s">
        <v>185</v>
      </c>
      <c r="B25" s="36"/>
      <c r="C25" s="36"/>
      <c r="D25" s="36"/>
    </row>
    <row r="26" customFormat="false" ht="15" hidden="false" customHeight="true" outlineLevel="0" collapsed="false">
      <c r="A26" s="37" t="s">
        <v>186</v>
      </c>
      <c r="B26" s="37"/>
      <c r="C26" s="37"/>
      <c r="D26" s="37"/>
    </row>
    <row r="27" customFormat="false" ht="37.5" hidden="false" customHeight="true" outlineLevel="0" collapsed="false">
      <c r="A27" s="38" t="s">
        <v>187</v>
      </c>
      <c r="B27" s="38"/>
      <c r="C27" s="38"/>
      <c r="D27" s="38"/>
    </row>
    <row r="28" customFormat="false" ht="15" hidden="false" customHeight="true" outlineLevel="0" collapsed="false">
      <c r="A28" s="36" t="s">
        <v>188</v>
      </c>
      <c r="B28" s="36"/>
      <c r="C28" s="36"/>
      <c r="D28" s="36"/>
    </row>
    <row r="29" customFormat="false" ht="15" hidden="false" customHeight="true" outlineLevel="0" collapsed="false">
      <c r="A29" s="37" t="s">
        <v>189</v>
      </c>
      <c r="B29" s="37"/>
      <c r="C29" s="37"/>
      <c r="D29" s="37"/>
    </row>
    <row r="30" customFormat="false" ht="37.5" hidden="false" customHeight="true" outlineLevel="0" collapsed="false">
      <c r="A30" s="38" t="s">
        <v>190</v>
      </c>
      <c r="B30" s="38"/>
      <c r="C30" s="38"/>
      <c r="D30" s="38"/>
    </row>
    <row r="31" customFormat="false" ht="15" hidden="false" customHeight="true" outlineLevel="0" collapsed="false">
      <c r="A31" s="36" t="s">
        <v>191</v>
      </c>
      <c r="B31" s="36"/>
      <c r="C31" s="36"/>
      <c r="D31" s="36"/>
    </row>
    <row r="32" customFormat="false" ht="15" hidden="false" customHeight="true" outlineLevel="0" collapsed="false">
      <c r="A32" s="37" t="s">
        <v>192</v>
      </c>
      <c r="B32" s="37"/>
      <c r="C32" s="37"/>
      <c r="D32" s="37"/>
    </row>
    <row r="33" customFormat="false" ht="37.5" hidden="false" customHeight="true" outlineLevel="0" collapsed="false">
      <c r="A33" s="38" t="s">
        <v>193</v>
      </c>
      <c r="B33" s="38"/>
      <c r="C33" s="38"/>
      <c r="D33" s="38"/>
    </row>
    <row r="36" customFormat="false" ht="16.15" hidden="false" customHeight="false" outlineLevel="0" collapsed="false">
      <c r="A36" s="25" t="s">
        <v>194</v>
      </c>
      <c r="B36" s="25"/>
      <c r="C36" s="25"/>
      <c r="D36" s="25"/>
    </row>
    <row r="37" customFormat="false" ht="49.5" hidden="false" customHeight="true" outlineLevel="0" collapsed="false">
      <c r="A37" s="39" t="s">
        <v>195</v>
      </c>
      <c r="B37" s="39"/>
      <c r="C37" s="39"/>
      <c r="D37" s="39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1F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</row>
    <row r="2" customFormat="false" ht="30" hidden="false" customHeight="true" outlineLevel="0" collapsed="false">
      <c r="A2" s="2" t="s">
        <v>197</v>
      </c>
      <c r="B2" s="2"/>
      <c r="C2" s="2"/>
      <c r="D2" s="2"/>
    </row>
    <row r="4" customFormat="false" ht="15" hidden="false" customHeight="false" outlineLevel="0" collapsed="false">
      <c r="A4" s="3" t="s">
        <v>198</v>
      </c>
      <c r="B4" s="3" t="s">
        <v>199</v>
      </c>
      <c r="C4" s="3" t="s">
        <v>200</v>
      </c>
    </row>
    <row r="5" customFormat="false" ht="21.75" hidden="false" customHeight="true" outlineLevel="0" collapsed="false">
      <c r="A5" s="4" t="s">
        <v>201</v>
      </c>
      <c r="B5" s="4"/>
      <c r="C5" s="4"/>
    </row>
    <row r="6" customFormat="false" ht="21.75" hidden="false" customHeight="true" outlineLevel="0" collapsed="false">
      <c r="A6" s="40" t="s">
        <v>202</v>
      </c>
      <c r="B6" s="10"/>
      <c r="C6" s="41"/>
    </row>
    <row r="7" customFormat="false" ht="21.75" hidden="false" customHeight="true" outlineLevel="0" collapsed="false">
      <c r="A7" s="40" t="s">
        <v>203</v>
      </c>
      <c r="B7" s="10"/>
      <c r="C7" s="41"/>
    </row>
    <row r="8" customFormat="false" ht="21.75" hidden="false" customHeight="true" outlineLevel="0" collapsed="false">
      <c r="A8" s="40" t="s">
        <v>204</v>
      </c>
      <c r="B8" s="10"/>
      <c r="C8" s="41"/>
    </row>
    <row r="9" customFormat="false" ht="21.75" hidden="false" customHeight="true" outlineLevel="0" collapsed="false">
      <c r="A9" s="40" t="s">
        <v>205</v>
      </c>
      <c r="B9" s="10"/>
      <c r="C9" s="41"/>
    </row>
    <row r="10" customFormat="false" ht="21.75" hidden="false" customHeight="true" outlineLevel="0" collapsed="false">
      <c r="A10" s="4" t="s">
        <v>206</v>
      </c>
      <c r="B10" s="4"/>
      <c r="C10" s="4"/>
    </row>
    <row r="11" customFormat="false" ht="21.75" hidden="false" customHeight="true" outlineLevel="0" collapsed="false">
      <c r="A11" s="40" t="s">
        <v>207</v>
      </c>
      <c r="B11" s="10"/>
      <c r="C11" s="41"/>
    </row>
    <row r="12" customFormat="false" ht="21.75" hidden="false" customHeight="true" outlineLevel="0" collapsed="false">
      <c r="A12" s="40" t="s">
        <v>208</v>
      </c>
      <c r="B12" s="10"/>
      <c r="C12" s="41"/>
    </row>
    <row r="13" customFormat="false" ht="21.75" hidden="false" customHeight="true" outlineLevel="0" collapsed="false">
      <c r="A13" s="40" t="s">
        <v>209</v>
      </c>
      <c r="B13" s="10"/>
      <c r="C13" s="41"/>
    </row>
    <row r="14" customFormat="false" ht="21.75" hidden="false" customHeight="true" outlineLevel="0" collapsed="false">
      <c r="A14" s="40" t="s">
        <v>210</v>
      </c>
      <c r="B14" s="10"/>
      <c r="C14" s="41"/>
    </row>
    <row r="15" customFormat="false" ht="21.75" hidden="false" customHeight="true" outlineLevel="0" collapsed="false">
      <c r="A15" s="4" t="s">
        <v>211</v>
      </c>
      <c r="B15" s="4"/>
      <c r="C15" s="4"/>
    </row>
    <row r="16" customFormat="false" ht="21.75" hidden="false" customHeight="true" outlineLevel="0" collapsed="false">
      <c r="A16" s="40" t="s">
        <v>212</v>
      </c>
      <c r="B16" s="10"/>
      <c r="C16" s="41"/>
    </row>
    <row r="17" customFormat="false" ht="21.75" hidden="false" customHeight="true" outlineLevel="0" collapsed="false">
      <c r="A17" s="40" t="s">
        <v>213</v>
      </c>
      <c r="B17" s="10"/>
      <c r="C17" s="41"/>
    </row>
    <row r="18" customFormat="false" ht="21.75" hidden="false" customHeight="true" outlineLevel="0" collapsed="false">
      <c r="A18" s="40" t="s">
        <v>214</v>
      </c>
      <c r="B18" s="10"/>
      <c r="C18" s="41"/>
    </row>
    <row r="19" customFormat="false" ht="21.75" hidden="false" customHeight="true" outlineLevel="0" collapsed="false">
      <c r="A19" s="40" t="s">
        <v>215</v>
      </c>
      <c r="B19" s="10"/>
      <c r="C19" s="41"/>
    </row>
    <row r="20" customFormat="false" ht="21.75" hidden="false" customHeight="true" outlineLevel="0" collapsed="false">
      <c r="A20" s="4" t="s">
        <v>216</v>
      </c>
      <c r="B20" s="4"/>
      <c r="C20" s="4"/>
    </row>
    <row r="21" customFormat="false" ht="21.75" hidden="false" customHeight="true" outlineLevel="0" collapsed="false">
      <c r="A21" s="40" t="s">
        <v>217</v>
      </c>
      <c r="B21" s="10"/>
      <c r="C21" s="41"/>
    </row>
    <row r="22" customFormat="false" ht="21.75" hidden="false" customHeight="true" outlineLevel="0" collapsed="false">
      <c r="A22" s="40" t="s">
        <v>218</v>
      </c>
      <c r="B22" s="10"/>
      <c r="C22" s="41"/>
    </row>
    <row r="23" customFormat="false" ht="21.75" hidden="false" customHeight="true" outlineLevel="0" collapsed="false">
      <c r="A23" s="40" t="s">
        <v>219</v>
      </c>
      <c r="B23" s="10"/>
      <c r="C23" s="41"/>
    </row>
    <row r="25" customFormat="false" ht="16.15" hidden="false" customHeight="false" outlineLevel="0" collapsed="false">
      <c r="A25" s="25" t="s">
        <v>220</v>
      </c>
      <c r="B25" s="25"/>
      <c r="C25" s="25"/>
    </row>
    <row r="26" customFormat="false" ht="16.15" hidden="false" customHeight="false" outlineLevel="0" collapsed="false">
      <c r="A26" s="13" t="s">
        <v>221</v>
      </c>
      <c r="B26" s="42" t="n">
        <f aca="false">COUNTIF(B6:B23,"Sí")</f>
        <v>0</v>
      </c>
    </row>
    <row r="27" customFormat="false" ht="16.15" hidden="false" customHeight="false" outlineLevel="0" collapsed="false">
      <c r="A27" s="13" t="s">
        <v>222</v>
      </c>
      <c r="B27" s="43" t="n">
        <f aca="false">COUNTIF(B6:B23,"Parcial")</f>
        <v>0</v>
      </c>
    </row>
    <row r="28" customFormat="false" ht="16.15" hidden="false" customHeight="false" outlineLevel="0" collapsed="false">
      <c r="A28" s="13" t="s">
        <v>223</v>
      </c>
      <c r="B28" s="44" t="n">
        <f aca="false">COUNTIF(B6:B23,"No")</f>
        <v>0</v>
      </c>
    </row>
    <row r="29" customFormat="false" ht="16.15" hidden="false" customHeight="false" outlineLevel="0" collapsed="false">
      <c r="A29" s="45" t="s">
        <v>224</v>
      </c>
      <c r="B29" s="46" t="n">
        <f aca="false">COUNTIF(B6:B23,"No aplica")</f>
        <v>0</v>
      </c>
    </row>
    <row r="31" customFormat="false" ht="22.05" hidden="false" customHeight="false" outlineLevel="0" collapsed="false">
      <c r="A31" s="30" t="s">
        <v>225</v>
      </c>
      <c r="B31" s="47" t="n">
        <f aca="false">IFERROR((COUNTIF(B6:B23,"Sí")+COUNTIF(B6:B23,"Parcial")*0.5)/(COUNTIF(B6:B23,"Sí")+COUNTIF(B6:B23,"Parcial")+COUNTIF(B6:B23,"No")),0)</f>
        <v>0</v>
      </c>
    </row>
    <row r="33" customFormat="false" ht="49.5" hidden="false" customHeight="true" outlineLevel="0" collapsed="false">
      <c r="A33" s="48" t="s">
        <v>152</v>
      </c>
      <c r="B33" s="49" t="str">
        <f aca="false">IF((COUNTIF(B6:B23,"Sí")+COUNTIF(B6:B23,"Parcial")+COUNTIF(B6:B23,"No"))=0,"Completa primero el checklist",IF(B31&gt;=0.8,"LISTOS para arrancar IA en cualquier caso del catálogo",IF(B31&gt;=0.6,"LISTOS para Quick Wins; preparar stack en paralelo para casos transformacionales",IF(B31&gt;=0.4,"INVERTIR en stack comercial en paralelo al primer caso de IA (cubrir bloques A-B antes)","PRIORIDAD: cerrar stack comercial 6-9 meses antes de IA. Sin CRM y datos sólidos, los proyectos comerciales fracasarán."))))</f>
        <v> First, complete the checklist.</v>
      </c>
      <c r="C33" s="49"/>
    </row>
  </sheetData>
  <mergeCells count="8">
    <mergeCell ref="A1:D1"/>
    <mergeCell ref="A2:D2"/>
    <mergeCell ref="A5:C5"/>
    <mergeCell ref="A10:C10"/>
    <mergeCell ref="A15:C15"/>
    <mergeCell ref="A20:C20"/>
    <mergeCell ref="A25:C25"/>
    <mergeCell ref="B33:C33"/>
  </mergeCells>
  <dataValidations count="1">
    <dataValidation allowBlank="true" errorStyle="stop" operator="between" showDropDown="false" showErrorMessage="false" showInputMessage="false" sqref="B6:B9 B11:B14 B16:B19 B21:B23" type="list">
      <formula1>"Sí,Parcial,No,No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2026-05-04T09:00:15Z</dcterms:created>
  <dc:creator>openpyxl</dc:creator>
  <dc:description/>
  <dc:language>en-US</dc:language>
  <cp:lastModifiedBy/>
  <dcterms:modified xsi:type="dcterms:W3CDTF">2026-05-04T09:00:15Z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