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atalog" sheetId="1" state="visible" r:id="rId3"/>
    <sheet name=" Questionnaire" sheetId="2" state="visible" r:id="rId4"/>
    <sheet name=" Canvas" sheetId="3" state="visible" r:id="rId5"/>
    <sheet name=" Enabler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<sst xmlns="http://schemas.openxmlformats.org/spreadsheetml/2006/main" count="209" uniqueCount="201">
  <si>
    <t xml:space="preserve"> Use case catalog · Human Resources and Talent</t>
  </si>
  <si>
    <t xml:space="preserve"> 8 cases organized into 2 blocks: talent cycle (attraction → recruitment → onboarding) · experience and retention. Mark in the last column the cases that apply to your organization.</t>
  </si>
  <si>
    <t xml:space="preserve"> #</t>
  </si>
  <si>
    <t xml:space="preserve"> Use case</t>
  </si>
  <si>
    <t xml:space="preserve"> Description</t>
  </si>
  <si>
    <t xml:space="preserve"> AI Family</t>
  </si>
  <si>
    <t xml:space="preserve"> Typical KPI</t>
  </si>
  <si>
    <t xml:space="preserve"> Required data</t>
  </si>
  <si>
    <t xml:space="preserve"> Effort</t>
  </si>
  <si>
    <t xml:space="preserve"> Maturity (1-5)</t>
  </si>
  <si>
    <t xml:space="preserve"> Compliance / Risk</t>
  </si>
  <si>
    <t xml:space="preserve"> Does this apply to us?</t>
  </si>
  <si>
    <t xml:space="preserve"> Grades</t>
  </si>
  <si>
    <t xml:space="preserve"> BLOCK A — TALENT CYCLE (attraction → recruitment → onboarding)</t>
  </si>
  <si>
    <t xml:space="preserve"> Assisted construction of job descriptions</t>
  </si>
  <si>
    <t xml:space="preserve"> Generates consistent job descriptions from templates, role ICP, organizational model competencies, and external benchmarks. Detects biased language and suggests inclusive alternatives.</t>
  </si>
  <si>
    <t xml:space="preserve"> GenAI</t>
  </si>
  <si>
    <t xml:space="preserve">JD development time, consistency with competency model, % of JDs approved on first review</t>
  </si>
  <si>
    <t xml:space="preserve"> Master templates, competency model, historical JDs, salary benchmarks, inclusive glossary</t>
  </si>
  <si>
    <t xml:space="preserve"> Quick Win</t>
  </si>
  <si>
    <t xml:space="preserve"> Language bias (gender, age, race); mandatory human approval; alignment with salary market.</t>
  </si>
  <si>
    <t xml:space="preserve"> Sourcing and multi-portal publication of vacancies via agents</t>
  </si>
  <si>
    <t xml:space="preserve"> An agent who posts the same job opening on multiple portals (LinkedIn, Computrabajo, OCC, Bumeran, Trabajando, Indeed), adapting the format and keywords for each channel. They actively source passive candidates based on skills, title, and company, and manage outreach efforts.</t>
  </si>
  <si>
    <t xml:space="preserve"> Agentic AI + GenAI</t>
  </si>
  <si>
    <t xml:space="preserve"> Posting time per vacancy, cost per channel, volume and quality of candidates per portal</t>
  </si>
  <si>
    <t xml:space="preserve"> Active vacancies, API credentials/portal scraping, candidate ICP, connected ATS</t>
  </si>
  <si>
    <t xml:space="preserve"> Medium</t>
  </si>
  <si>
    <t xml:space="preserve">Portal terms of service; candidate data protection; channel traceability; ethical outreach management.</t>
  </si>
  <si>
    <t xml:space="preserve"> Automated screening and ranking of candidates</t>
  </si>
  <si>
    <t xml:space="preserve"> It processes incoming CVs, compares them against role requirements, extracts key competencies, and generates an explainable ranking from best to worst match. It suggests specific questions for each candidate for the next stage.</t>
  </si>
  <si>
    <t xml:space="preserve"> ML + GenAI / RAG</t>
  </si>
  <si>
    <t xml:space="preserve"> Time to first response, shortlist quality, percentage of candidates advancing to interview, offer acceptance rate</t>
  </si>
  <si>
    <t xml:space="preserve"> Candidate CVs, role description, competency model, hiring history with outcome</t>
  </si>
  <si>
    <t xml:space="preserve"> Discriminatory algorithmic bias; mandatory explainability; human review of finalists; compliance with the EU AI Act (high risk in employment).</t>
  </si>
  <si>
    <t xml:space="preserve"> Selection interview assistant</t>
  </si>
  <si>
    <t xml:space="preserve">Real-time co-pilot during the interview: transcribes, suggests in-depth questions based on competency, captures responses, and generates a structured summary with scoring. Supports structured and competency-based interviews.</t>
  </si>
  <si>
    <t xml:space="preserve"> GenAI + ML</t>
  </si>
  <si>
    <t xml:space="preserve"> Interviewer administrative time, scoring quality, consistency between interviewers, candidate NPS</t>
  </si>
  <si>
    <t xml:space="preserve"> Role-structured interview templates, transcripts (with consent), competency model</t>
  </si>
  <si>
    <t xml:space="preserve"> ⚠ PREREQUISITE: Explicit written consent from the candidate for recording/transcription before the interview begins. Recording privacy; mandatory human review of the decision; model biases; limited storage and right to deletion at the candidate's request.</t>
  </si>
  <si>
    <t xml:space="preserve"> Without documented consent from the candidate → do not proceed. Review EU AI Act (employment = high risk) and local data protection regulations.</t>
  </si>
  <si>
    <t xml:space="preserve"> Skills inventory and semantic search of internal talent</t>
  </si>
  <si>
    <t xml:space="preserve">Build a digital inventory of staff skills and experience from internal CVs, performance reviews, and past projects. Enable conversational searches ("Who knows Snowflake with 3+ years in finance?") to fill vacancies and build teams.</t>
  </si>
  <si>
    <t xml:space="preserve"> GenAI / RAG + ML</t>
  </si>
  <si>
    <t xml:space="preserve"> Time to fill vacancies with internal talent, percentage of internal mobility, savings in external hiring costs</t>
  </si>
  <si>
    <t xml:space="preserve"> Internal CVs, performance evaluations, assigned projects, certifications, self-declaration of skills</t>
  </si>
  <si>
    <t xml:space="preserve"> Employee privacy; consent for the use of their profile; transparency on how data is used in mobility decisions.</t>
  </si>
  <si>
    <t xml:space="preserve"> Personalized onboarding and milestone tracking</t>
  </si>
  <si>
    <t xml:space="preserve"> An assistant that creates a customized onboarding plan tailored to the new employee's role, team, and seniority level. It automatically tracks milestones (training, access, initial meetings), identifies potential issues, and alerts the manager. It also provides a conversational assistant to answer new employee questions.</t>
  </si>
  <si>
    <t xml:space="preserve"> GenAI + Agentic + RAG</t>
  </si>
  <si>
    <t xml:space="preserve">Time-to-productivity, onboarding NPS, 90-day retention, % of milestones completed on time</t>
  </si>
  <si>
    <t xml:space="preserve"> Master plan by role, access provisioning systems, calendar, employee handbook, NPS survey</t>
  </si>
  <si>
    <t xml:space="preserve"> Privacy and consent; traceability of automated tasks; human escalation if the person reports friction.</t>
  </si>
  <si>
    <t xml:space="preserve"> BLOCK B — EMPLOYEE EXPERIENCE AND RETENTION</t>
  </si>
  <si>
    <t xml:space="preserve"> Conversational copilot for employees (HR helpdesk)</t>
  </si>
  <si>
    <t xml:space="preserve"> A conversational assistant that answers frequently asked employee questions about vacations, benefits, payroll, internal policies, and processes. It performs simple actions (requesting vacation, certificates) and escalates to a human when necessary.</t>
  </si>
  <si>
    <t xml:space="preserve"> GenAI / RAG + Agentic</t>
  </si>
  <si>
    <t xml:space="preserve"> Self-service rate, ticket deflection to HR, response time, internal NPS</t>
  </si>
  <si>
    <t xml:space="preserve"> Employee handbook, digitized internal policies, FAQs, HRIS integration and ticketing</t>
  </si>
  <si>
    <t xml:space="preserve">Privacy and robust authentication; risk of hallucination in legal policies; traceability; human escalation in sensitive cases.</t>
  </si>
  <si>
    <t xml:space="preserve"> Climate analysis and rotation prediction</t>
  </si>
  <si>
    <t xml:space="preserve"> Analyze climate/pulse surveys, exit interviews, internal tickets, and behavioral patterns to detect areas of discontent and predict turnover risk by team/role/manager in advance.</t>
  </si>
  <si>
    <t xml:space="preserve"> Classic ML + GenAI</t>
  </si>
  <si>
    <t xml:space="preserve"> Turnover rate, retention of key talent, time to detection of discontent, cost avoided due to churn</t>
  </si>
  <si>
    <t xml:space="preserve"> Climate/pulse surveys, exit interviews, performance data, mobility data, internal tickets</t>
  </si>
  <si>
    <t xml:space="preserve"> Privacy and anonymization of responses; ethical use (non-discrimination); transparency with the team; always human decisions.</t>
  </si>
  <si>
    <t xml:space="preserve"> SUMMARY OF SELECTIONS</t>
  </si>
  <si>
    <t xml:space="preserve"> Cases marked "Yes":</t>
  </si>
  <si>
    <t xml:space="preserve"> Cases marked "Maybe":</t>
  </si>
  <si>
    <t xml:space="preserve"> Cases marked "No":</t>
  </si>
  <si>
    <t xml:space="preserve"> Total candidates (Yes + Maybe):</t>
  </si>
  <si>
    <t xml:space="preserve">Self-assessment questionnaire · Human Resources and Talent</t>
  </si>
  <si>
    <t xml:space="preserve"> 16 questions in 4 sections. Scale 1-5. Automatically calculates Pain × Readiness and delivers a strategic recommendation.</t>
  </si>
  <si>
    <t xml:space="preserve"> Scale:</t>
  </si>
  <si>
    <t xml:space="preserve"> 1 = does not exist / very low · 2 = low · 3 = medium · 4 = high · 5 = systematic / very high</t>
  </si>
  <si>
    <t xml:space="preserve"> Ask</t>
  </si>
  <si>
    <t xml:space="preserve"> Score (1-5)</t>
  </si>
  <si>
    <t xml:space="preserve"> BLOCK A — HR and Talent Pain</t>
  </si>
  <si>
    <t xml:space="preserve"> A1</t>
  </si>
  <si>
    <t xml:space="preserve"> The volume of active vacancies and the time-to-hire we are experiencing today is:</t>
  </si>
  <si>
    <t xml:space="preserve"> A2</t>
  </si>
  <si>
    <t xml:space="preserve"> The administrative time of the HR team (posting, screen, scheduling, answering queries) is:</t>
  </si>
  <si>
    <t xml:space="preserve"> A3</t>
  </si>
  <si>
    <t xml:space="preserve"> Our turnover rate/loss of key talent and the associated cost is:</t>
  </si>
  <si>
    <t xml:space="preserve"> A4</t>
  </si>
  <si>
    <t xml:space="preserve"> The inconsistency between job descriptions, interviews, and employee experience is:</t>
  </si>
  <si>
    <t xml:space="preserve"> BLOCK B — Talent Data Readiness</t>
  </si>
  <si>
    <t xml:space="preserve"> B1</t>
  </si>
  <si>
    <t xml:space="preserve"> We have a unique ATS / corporate recruiting system with a 12+ month history:</t>
  </si>
  <si>
    <t xml:space="preserve"> B2</t>
  </si>
  <si>
    <t xml:space="preserve">We have an HRIS/payroll system with up-to-date and traceable employee data:</t>
  </si>
  <si>
    <t xml:space="preserve"> B3</t>
  </si>
  <si>
    <t xml:space="preserve"> HR policies, manuals, and processes are digitized, accessible, and up-to-date:</t>
  </si>
  <si>
    <t xml:space="preserve"> B4</t>
  </si>
  <si>
    <t xml:space="preserve"> Performance, climate, and survey data are digitized and traceable to person/team:</t>
  </si>
  <si>
    <t xml:space="preserve"> BLOCK C — HR Team Readiness</t>
  </si>
  <si>
    <t xml:space="preserve"> C1</t>
  </si>
  <si>
    <t xml:space="preserve"> HR leadership is open to incorporating AI and sponsors the initiative:</t>
  </si>
  <si>
    <t xml:space="preserve"> C2</t>
  </si>
  <si>
    <t xml:space="preserve"> There are natural allies (technological champions / superusers) in the HR team:</t>
  </si>
  <si>
    <t xml:space="preserve"> C3</t>
  </si>
  <si>
    <t xml:space="preserve"> Culture tolerates AI with human-in-the-loop, especially in decisions that affect people:</t>
  </si>
  <si>
    <t xml:space="preserve"> C4</t>
  </si>
  <si>
    <t xml:space="preserve"> The team has undergone previous technological transformation or adoption projects with reasonable results:</t>
  </si>
  <si>
    <t xml:space="preserve"> BLOCK D — Strategic alignment and labor compliance</t>
  </si>
  <si>
    <t xml:space="preserve"> D1</t>
  </si>
  <si>
    <t xml:space="preserve"> We have explicit goals: time-to-hire, cost-to-hire, retention, employee NPS, internal mobility:</t>
  </si>
  <si>
    <t xml:space="preserve"> D2</t>
  </si>
  <si>
    <t xml:space="preserve">There is a reasonable budget to invest in AI in HR in the next 12 months:</t>
  </si>
  <si>
    <t xml:space="preserve"> D3</t>
  </si>
  <si>
    <t xml:space="preserve"> The legal framework for labor and personal data protection (LFPDPPP, GDPR, EU AI Act, non-discrimination) is identified and managed:</t>
  </si>
  <si>
    <t xml:space="preserve"> D4</t>
  </si>
  <si>
    <t xml:space="preserve"> There is alignment with business leaders on talent needs and HR priorities:</t>
  </si>
  <si>
    <t xml:space="preserve"> RESULTS</t>
  </si>
  <si>
    <t xml:space="preserve"> Pain score (Block A):</t>
  </si>
  <si>
    <t xml:space="preserve"> Readiness score (Blocks B + C + D):</t>
  </si>
  <si>
    <t xml:space="preserve"> RECOMMENDATION:</t>
  </si>
  <si>
    <t xml:space="preserve"> Averages per block (reference):</t>
  </si>
  <si>
    <t xml:space="preserve"> Block A — Pain:</t>
  </si>
  <si>
    <t xml:space="preserve"> Block B — Data:</t>
  </si>
  <si>
    <t xml:space="preserve"> Block C — Team:</t>
  </si>
  <si>
    <t xml:space="preserve"> Block D — Strategy:</t>
  </si>
  <si>
    <t xml:space="preserve"> 2×2 Matrix — Pain × Readiness</t>
  </si>
  <si>
    <t xml:space="preserve"> Readiness LOW (&lt; 3.5)</t>
  </si>
  <si>
    <t xml:space="preserve"> Readiness HIGH (≥ 3.5)</t>
  </si>
  <si>
    <t xml:space="preserve"> High Pain (≥ 3.5)</t>
  </si>
  <si>
    <t xml:space="preserve"> Invest in enablers first</t>
  </si>
  <si>
    <t xml:space="preserve"> PRIORITY QUICK WIN</t>
  </si>
  <si>
    <t xml:space="preserve"> LOW Pain (&lt; 3.5)</t>
  </si>
  <si>
    <t xml:space="preserve"> It's not time yet.</t>
  </si>
  <si>
    <t xml:space="preserve"> Opportunity without urgency</t>
  </si>
  <si>
    <t xml:space="preserve"> Opportunity Canvas · Human Resources and Talent</t>
  </si>
  <si>
    <t xml:space="preserve">Document a specific opportunity on one page. Replace the example text (in italics) with your information.</t>
  </si>
  <si>
    <t xml:space="preserve"> 1. Case Name</t>
  </si>
  <si>
    <t xml:space="preserve"> Prompt: ≤ 8 words</t>
  </si>
  <si>
    <t xml:space="preserve"> Ex. Automated CV screening for tech roles</t>
  </si>
  <si>
    <t xml:space="preserve"> 2. Specific pain point</t>
  </si>
  <si>
    <t xml:space="preserve"> Prompt: Today our HR team/managers suffer X when Y</t>
  </si>
  <si>
    <t xml:space="preserve"> For example, today our 3 recruiters process ~600 CVs/month for tech roles with a time-to-shortlist of 8 days; they lose 50% of the time on initial reading.</t>
  </si>
  <si>
    <t xml:space="preserve"> 3. Frequency and volume</t>
  </si>
  <si>
    <t xml:space="preserve"> Prompt: How many candidates/vacancies/employees does it affect per month?</t>
  </si>
  <si>
    <t xml:space="preserve"> E.g. ~600 CVs/month; 25 active vacancies in tech; 3 recruiters and 12 hiring managers affected.</t>
  </si>
  <si>
    <t xml:space="preserve"> 4. Estimated cost of pain</t>
  </si>
  <si>
    <t xml:space="preserve"> Prompt: USD/month in direct cost + lost opportunity</t>
  </si>
  <si>
    <t xml:space="preserve"> E.g. 50% of recruiter time = USD 4,500/month; loss due to open vacancies (revenue/productivity) ~ USD 30,000/month.</t>
  </si>
  <si>
    <t xml:space="preserve"> 5. Primary KPI to move</t>
  </si>
  <si>
    <t xml:space="preserve"> Prompt: Specific indicator and direction</t>
  </si>
  <si>
    <t xml:space="preserve">E.g. Time-to-shortlist (from 8 days to 2 days); shortlist quality; accepted bid rate.</t>
  </si>
  <si>
    <t xml:space="preserve"> 6. Expected magnitude of change</t>
  </si>
  <si>
    <t xml:space="preserve"> Prompt: From X to Y, on what horizon</t>
  </si>
  <si>
    <t xml:space="preserve"> E.g. Reduce time-to-shortlist by 75% in 6 months; save 1.5 FTE-month starting from month 4.</t>
  </si>
  <si>
    <t xml:space="preserve"> 7. Available data</t>
  </si>
  <si>
    <t xml:space="preserve"> Prompt: Sources, volume, quality, gaps</t>
  </si>
  <si>
    <t xml:space="preserve"> E.g. ATS Greenhouse with 24 months of history (medium quality); standardized JDs in Notion; competency model in draft.</t>
  </si>
  <si>
    <t xml:space="preserve"> 8. Hypothetical AI Family</t>
  </si>
  <si>
    <t xml:space="preserve"> Prompt: Rules / Classic ML / GenAI / Agentic / Hybrid (Module 4)</t>
  </si>
  <si>
    <t xml:space="preserve"> E.g. GenAI with RAG on JDs and a competency model + classic ML for explainable ranking.</t>
  </si>
  <si>
    <t xml:space="preserve"> 9. Visible risks</t>
  </si>
  <si>
    <t xml:space="preserve"> Prompt: Regulatory, technical, adoption</t>
  </si>
  <si>
    <t xml:space="preserve"> E.g. Discriminatory bias in ranking; mandatory explainability; compliance with the EU AI Act (high-risk employment system); recruiter resistance.</t>
  </si>
  <si>
    <t xml:space="preserve"> 10. Case Sponsor</t>
  </si>
  <si>
    <t xml:space="preserve"> Prompt: Name and role of the executive sponsor</t>
  </si>
  <si>
    <t xml:space="preserve">E.g. Director of Talent Acquisition, Camila Pérez.</t>
  </si>
  <si>
    <t xml:space="preserve"> EXIT — Case Summary for Module 2 / 3</t>
  </si>
  <si>
    <t xml:space="preserve"> When you complete the 10 fields, copy the content into the opportunity template of Module 2 (portfolio) and Module 3 (impact prioritization × feasibility).</t>
  </si>
  <si>
    <t xml:space="preserve"> Pre-AI Enablers HR Tech Stack Maturity</t>
  </si>
  <si>
    <t xml:space="preserve"> Before considering AI, your HR needs certain minimum capabilities. Mark the status of each enabler: Yes · Partial · No · Not applicable.</t>
  </si>
  <si>
    <t xml:space="preserve"> Enabler</t>
  </si>
  <si>
    <t xml:space="preserve"> State</t>
  </si>
  <si>
    <t xml:space="preserve"> Comment</t>
  </si>
  <si>
    <t xml:space="preserve"> A. ATS AND RECRUITMENT</t>
  </si>
  <si>
    <t xml:space="preserve"> We have a unique corporate ATS (Greenhouse, Lever, SmartRecruiters, Workday Recruit, Bizneo or other) with a history of 12+ months</t>
  </si>
  <si>
    <t xml:space="preserve"> The candidate pipeline is digital with traceable outcomes at each stage.</t>
  </si>
  <si>
    <t xml:space="preserve"> Job descriptions (JDs) are standardized and maintained</t>
  </si>
  <si>
    <t xml:space="preserve"> There is a documented and operational competency model and/or skills framework</t>
  </si>
  <si>
    <t xml:space="preserve"> B. HRIS AND EMPLOYEE DATA</t>
  </si>
  <si>
    <t xml:space="preserve">We have an HRIS/payroll system with up-to-date employee data (Workday, BambooHR, Buk, Rankmi, Worky or other)</t>
  </si>
  <si>
    <t xml:space="preserve"> There is a digital record of internal mobility (rotations, promotions, transfers)</t>
  </si>
  <si>
    <t xml:space="preserve"> Performance data and evaluations are digitized and traceable to the individual.</t>
  </si>
  <si>
    <t xml:space="preserve"> There is a skills inventory of employees with reasonable coverage (≥50% of the workforce)</t>
  </si>
  <si>
    <t xml:space="preserve"> C. CONTENT AND INTERNAL KNOWLEDGE</t>
  </si>
  <si>
    <t xml:space="preserve"> Digitized, current and accessible employee handbook and internal policies</t>
  </si>
  <si>
    <t xml:space="preserve"> Documented onboarding plan by role, area or level</t>
  </si>
  <si>
    <t xml:space="preserve"> Digital and cataloged training materials (LMS or equivalent)</t>
  </si>
  <si>
    <t xml:space="preserve"> Updated internal taxonomy and FAQs (vacations, benefits, payroll, compliance)</t>
  </si>
  <si>
    <t xml:space="preserve"> D. EXPERIENCE AND FEEDBACK</t>
  </si>
  <si>
    <t xml:space="preserve"> Digital weather surveys / pulse with regular cadence</t>
  </si>
  <si>
    <t xml:space="preserve"> Traceable formal and informal feedback channels (HR tickets, exit interviews, 1:1s)</t>
  </si>
  <si>
    <t xml:space="preserve"> Engagement metrics available and consumed by leadership</t>
  </si>
  <si>
    <t xml:space="preserve">Turnover data by team, role, and manager with a history of 12+ months</t>
  </si>
  <si>
    <t xml:space="preserve"> E. PROCESSES, EQUIPMENT AND GOVERNANCE</t>
  </si>
  <si>
    <t xml:space="preserve"> There is an identified People Ops / HR Tech manager</t>
  </si>
  <si>
    <t xml:space="preserve"> There is operational alignment between HR and hiring managers (SLAs, definitions, rituals)</t>
  </si>
  <si>
    <t xml:space="preserve"> The HR team has minimal capacity for prompting/using GenAI tools</t>
  </si>
  <si>
    <t xml:space="preserve"> There is an internal policy on the ethical use of AI in human decision-making (bias, transparency, human decision-making).</t>
  </si>
  <si>
    <t xml:space="preserve"> READINESS SUMMARY AND SCORE</t>
  </si>
  <si>
    <t xml:space="preserve"> Enablers marked "Yes":</t>
  </si>
  <si>
    <t xml:space="preserve"> Partial exams:</t>
  </si>
  <si>
    <t xml:space="preserve"> We do not have:</t>
  </si>
  <si>
    <t xml:space="preserve"> Not applicable:</t>
  </si>
  <si>
    <t xml:space="preserve"> HR READINESS SCORE:</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</si>
</sst>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sz val="11"/>
      <color rgb="FF6B7280"/>
      <name val="Arial"/>
      <family val="0"/>
      <charset val="1"/>
    </font>
    <font>
      <b val="true"/>
      <sz val="11"/>
      <color rgb="FF1F3A5F"/>
      <name val="Arial"/>
      <family val="0"/>
      <charset val="1"/>
    </font>
    <font>
      <b val="true"/>
      <sz val="12"/>
      <color rgb="FF1F3A5F"/>
      <name val="Arial"/>
      <family val="0"/>
      <charset val="1"/>
    </font>
    <font>
      <sz val="11"/>
      <name val="Arial"/>
      <family val="0"/>
      <charset val="1"/>
    </font>
    <font>
      <sz val="11"/>
      <color rgb="FFB91C1C"/>
      <name val="Arial"/>
      <family val="0"/>
      <charset val="1"/>
    </font>
    <font>
      <b val="true"/>
      <i val="true"/>
      <sz val="10"/>
      <color rgb="FFB91C1C"/>
      <name val="Arial"/>
      <family val="0"/>
      <charset val="1"/>
    </font>
    <font>
      <b val="true"/>
      <sz val="13"/>
      <color rgb="FF1F3A5F"/>
      <name val="Arial"/>
      <family val="0"/>
      <charset val="1"/>
    </font>
    <font>
      <sz val="10"/>
      <color rgb="FF6B7280"/>
      <name val="Arial"/>
      <family val="0"/>
      <charset val="1"/>
    </font>
    <font>
      <i val="true"/>
      <sz val="11"/>
      <color rgb="FF374151"/>
      <name val="Arial"/>
      <family val="0"/>
      <charset val="1"/>
    </font>
  </fonts>
  <fills count="6">
    <fill>
      <patternFill patternType="none"/>
    </fill>
    <fill>
      <patternFill patternType="gray125"/>
    </fill>
    <fill>
      <patternFill patternType="solid">
        <fgColor rgb="FFE8EEF4"/>
        <bgColor rgb="FFFEF2F2"/>
      </patternFill>
    </fill>
    <fill>
      <patternFill patternType="solid">
        <fgColor rgb="FFFEF2F2"/>
        <bgColor rgb="FFFFF8DC"/>
      </patternFill>
    </fill>
    <fill>
      <patternFill patternType="solid">
        <fgColor rgb="FFFDE7E9"/>
        <bgColor rgb="FFFEF2F2"/>
      </patternFill>
    </fill>
    <fill>
      <patternFill patternType="solid">
        <fgColor rgb="FFFFF8DC"/>
        <bgColor rgb="FFFEF2F2"/>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1" fillId="2"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5"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11"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E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DC"/>
      <rgbColor rgb="FFE8EEF4"/>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366FF"/>
      <rgbColor rgb="FF33CCCC"/>
      <rgbColor rgb="FF99CC00"/>
      <rgbColor rgb="FFFFCC00"/>
      <rgbColor rgb="FFFF9900"/>
      <rgbColor rgb="FFFF6600"/>
      <rgbColor rgb="FF6B7280"/>
      <rgbColor rgb="FF969696"/>
      <rgbColor rgb="FF1F3A5F"/>
      <rgbColor rgb="FF339966"/>
      <rgbColor rgb="FF003300"/>
      <rgbColor rgb="FF333300"/>
      <rgbColor rgb="FFB91C1C"/>
      <rgbColor rgb="FF993366"/>
      <rgbColor rgb="FF33339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44"/>
    <col collapsed="false" customWidth="true" hidden="false" outlineLevel="0" max="4" min="4" style="1" width="20"/>
    <col collapsed="false" customWidth="true" hidden="false" outlineLevel="0" max="5" min="5" style="1" width="26"/>
    <col collapsed="false" customWidth="true" hidden="false" outlineLevel="0" max="6" min="6" style="1" width="30"/>
    <col collapsed="false" customWidth="true" hidden="false" outlineLevel="0" max="7" min="7" style="1" width="14"/>
    <col collapsed="false" customWidth="true" hidden="false" outlineLevel="0" max="8" min="8" style="1" width="11"/>
    <col collapsed="false" customWidth="true" hidden="false" outlineLevel="0" max="9" min="9" style="1" width="30"/>
    <col collapsed="false" customWidth="true" hidden="false" outlineLevel="0" max="10" min="10" style="1" width="16"/>
    <col collapsed="false" customWidth="true" hidden="false" outlineLevel="0" max="11" min="11" style="1" width="24"/>
  </cols>
  <sheetData>
    <row r="1" customFormat="false" ht="27.75" hidden="false" customHeight="true" outlineLevel="0" collapsed="false">
      <c r="A1" s="2" t="s">
        <v>0</v>
      </c>
      <c r="B1" s="2"/>
      <c r="C1" s="2"/>
      <c r="D1" s="2"/>
      <c r="E1" s="2"/>
      <c r="F1" s="2"/>
      <c r="G1" s="2"/>
      <c r="H1" s="2"/>
      <c r="I1" s="2"/>
      <c r="J1" s="2"/>
      <c r="K1" s="2"/>
    </row>
    <row r="2" customFormat="false" ht="30" hidden="false" customHeight="true" outlineLevel="0" collapsed="false">
      <c r="A2" s="3" t="s">
        <v>1</v>
      </c>
      <c r="B2" s="3"/>
      <c r="C2" s="3"/>
      <c r="D2" s="3"/>
      <c r="E2" s="3"/>
      <c r="F2" s="3"/>
      <c r="G2" s="3"/>
      <c r="H2" s="3"/>
      <c r="I2" s="3"/>
      <c r="J2" s="3"/>
      <c r="K2" s="3"/>
    </row>
    <row r="4" customFormat="false" ht="31.5" hidden="false" customHeight="true" outlineLevel="0" collapsed="false">
      <c r="A4" s="4" t="s">
        <v>2</v>
      </c>
      <c r="B4" s="4" t="s">
        <v>3</v>
      </c>
      <c r="C4" s="4" t="s">
        <v>4</v>
      </c>
      <c r="D4" s="4" t="s">
        <v>5</v>
      </c>
      <c r="E4" s="4" t="s">
        <v>6</v>
      </c>
      <c r="F4" s="4" t="s">
        <v>7</v>
      </c>
      <c r="G4" s="4" t="s">
        <v>8</v>
      </c>
      <c r="H4" s="4" t="s">
        <v>9</v>
      </c>
      <c r="I4" s="4" t="s">
        <v>10</v>
      </c>
      <c r="J4" s="4" t="s">
        <v>11</v>
      </c>
      <c r="K4" s="4" t="s">
        <v>12</v>
      </c>
    </row>
    <row r="5" customFormat="false" ht="21.75" hidden="false" customHeight="true" outlineLevel="0" collapsed="false">
      <c r="A5" s="5" t="s">
        <v>13</v>
      </c>
      <c r="B5" s="5"/>
      <c r="C5" s="5"/>
      <c r="D5" s="5"/>
      <c r="E5" s="5"/>
      <c r="F5" s="5"/>
      <c r="G5" s="5"/>
      <c r="H5" s="5"/>
      <c r="I5" s="5"/>
      <c r="J5" s="5"/>
      <c r="K5" s="5"/>
    </row>
    <row r="6" customFormat="false" ht="90" hidden="false" customHeight="true" outlineLevel="0" collapsed="false">
      <c r="A6" s="6" t="n">
        <v>1</v>
      </c>
      <c r="B6" s="7" t="s">
        <v>14</v>
      </c>
      <c r="C6" s="7" t="s">
        <v>15</v>
      </c>
      <c r="D6" s="7" t="s">
        <v>16</v>
      </c>
      <c r="E6" s="7" t="s">
        <v>17</v>
      </c>
      <c r="F6" s="7" t="s">
        <v>18</v>
      </c>
      <c r="G6" s="6" t="s">
        <v>19</v>
      </c>
      <c r="H6" s="6" t="n">
        <v>5</v>
      </c>
      <c r="I6" s="7" t="s">
        <v>20</v>
      </c>
    </row>
    <row r="7" customFormat="false" ht="90" hidden="false" customHeight="true" outlineLevel="0" collapsed="false">
      <c r="A7" s="6" t="n">
        <v>2</v>
      </c>
      <c r="B7" s="7" t="s">
        <v>21</v>
      </c>
      <c r="C7" s="7" t="s">
        <v>22</v>
      </c>
      <c r="D7" s="7" t="s">
        <v>23</v>
      </c>
      <c r="E7" s="7" t="s">
        <v>24</v>
      </c>
      <c r="F7" s="7" t="s">
        <v>25</v>
      </c>
      <c r="G7" s="6" t="s">
        <v>26</v>
      </c>
      <c r="H7" s="6" t="n">
        <v>4</v>
      </c>
      <c r="I7" s="7" t="s">
        <v>27</v>
      </c>
    </row>
    <row r="8" customFormat="false" ht="90" hidden="false" customHeight="true" outlineLevel="0" collapsed="false">
      <c r="A8" s="6" t="n">
        <v>3</v>
      </c>
      <c r="B8" s="7" t="s">
        <v>28</v>
      </c>
      <c r="C8" s="7" t="s">
        <v>29</v>
      </c>
      <c r="D8" s="7" t="s">
        <v>30</v>
      </c>
      <c r="E8" s="7" t="s">
        <v>31</v>
      </c>
      <c r="F8" s="7" t="s">
        <v>32</v>
      </c>
      <c r="G8" s="6" t="s">
        <v>19</v>
      </c>
      <c r="H8" s="6" t="n">
        <v>4</v>
      </c>
      <c r="I8" s="7" t="s">
        <v>33</v>
      </c>
    </row>
    <row r="9" customFormat="false" ht="109.5" hidden="false" customHeight="true" outlineLevel="0" collapsed="false">
      <c r="A9" s="6" t="n">
        <v>4</v>
      </c>
      <c r="B9" s="7" t="s">
        <v>34</v>
      </c>
      <c r="C9" s="7" t="s">
        <v>35</v>
      </c>
      <c r="D9" s="7" t="s">
        <v>36</v>
      </c>
      <c r="E9" s="7" t="s">
        <v>37</v>
      </c>
      <c r="F9" s="7" t="s">
        <v>38</v>
      </c>
      <c r="G9" s="6" t="s">
        <v>26</v>
      </c>
      <c r="H9" s="6" t="n">
        <v>4</v>
      </c>
      <c r="I9" s="8" t="s">
        <v>39</v>
      </c>
      <c r="K9" s="9" t="s">
        <v>40</v>
      </c>
    </row>
    <row r="10" customFormat="false" ht="90" hidden="false" customHeight="true" outlineLevel="0" collapsed="false">
      <c r="A10" s="6" t="n">
        <v>5</v>
      </c>
      <c r="B10" s="7" t="s">
        <v>41</v>
      </c>
      <c r="C10" s="7" t="s">
        <v>42</v>
      </c>
      <c r="D10" s="7" t="s">
        <v>43</v>
      </c>
      <c r="E10" s="7" t="s">
        <v>44</v>
      </c>
      <c r="F10" s="7" t="s">
        <v>45</v>
      </c>
      <c r="G10" s="6" t="s">
        <v>26</v>
      </c>
      <c r="H10" s="6" t="n">
        <v>4</v>
      </c>
      <c r="I10" s="7" t="s">
        <v>46</v>
      </c>
    </row>
    <row r="11" customFormat="false" ht="90" hidden="false" customHeight="true" outlineLevel="0" collapsed="false">
      <c r="A11" s="6" t="n">
        <v>6</v>
      </c>
      <c r="B11" s="7" t="s">
        <v>47</v>
      </c>
      <c r="C11" s="7" t="s">
        <v>48</v>
      </c>
      <c r="D11" s="7" t="s">
        <v>49</v>
      </c>
      <c r="E11" s="7" t="s">
        <v>50</v>
      </c>
      <c r="F11" s="7" t="s">
        <v>51</v>
      </c>
      <c r="G11" s="6" t="s">
        <v>19</v>
      </c>
      <c r="H11" s="6" t="n">
        <v>4</v>
      </c>
      <c r="I11" s="7" t="s">
        <v>52</v>
      </c>
    </row>
    <row r="12" customFormat="false" ht="21.75" hidden="false" customHeight="true" outlineLevel="0" collapsed="false">
      <c r="A12" s="5" t="s">
        <v>53</v>
      </c>
      <c r="B12" s="5"/>
      <c r="C12" s="5"/>
      <c r="D12" s="5"/>
      <c r="E12" s="5"/>
      <c r="F12" s="5"/>
      <c r="G12" s="5"/>
      <c r="H12" s="5"/>
      <c r="I12" s="5"/>
      <c r="J12" s="5"/>
      <c r="K12" s="5"/>
    </row>
    <row r="13" customFormat="false" ht="90" hidden="false" customHeight="true" outlineLevel="0" collapsed="false">
      <c r="A13" s="6" t="n">
        <v>7</v>
      </c>
      <c r="B13" s="7" t="s">
        <v>54</v>
      </c>
      <c r="C13" s="7" t="s">
        <v>55</v>
      </c>
      <c r="D13" s="7" t="s">
        <v>56</v>
      </c>
      <c r="E13" s="7" t="s">
        <v>57</v>
      </c>
      <c r="F13" s="7" t="s">
        <v>58</v>
      </c>
      <c r="G13" s="6" t="s">
        <v>19</v>
      </c>
      <c r="H13" s="6" t="n">
        <v>5</v>
      </c>
      <c r="I13" s="7" t="s">
        <v>59</v>
      </c>
    </row>
    <row r="14" customFormat="false" ht="90" hidden="false" customHeight="true" outlineLevel="0" collapsed="false">
      <c r="A14" s="6" t="n">
        <v>8</v>
      </c>
      <c r="B14" s="7" t="s">
        <v>60</v>
      </c>
      <c r="C14" s="7" t="s">
        <v>61</v>
      </c>
      <c r="D14" s="7" t="s">
        <v>62</v>
      </c>
      <c r="E14" s="7" t="s">
        <v>63</v>
      </c>
      <c r="F14" s="7" t="s">
        <v>64</v>
      </c>
      <c r="G14" s="6" t="s">
        <v>26</v>
      </c>
      <c r="H14" s="6" t="n">
        <v>4</v>
      </c>
      <c r="I14" s="7" t="s">
        <v>65</v>
      </c>
    </row>
    <row r="16" customFormat="false" ht="21.75" hidden="false" customHeight="true" outlineLevel="0" collapsed="false">
      <c r="A16" s="5" t="s">
        <v>66</v>
      </c>
      <c r="B16" s="5"/>
      <c r="C16" s="5"/>
      <c r="D16" s="5"/>
    </row>
    <row r="17" customFormat="false" ht="18" hidden="false" customHeight="true" outlineLevel="0" collapsed="false">
      <c r="A17" s="10" t="s">
        <v>67</v>
      </c>
      <c r="B17" s="11" t="n">
        <f aca="false">COUNTIF(J6:J11,"Sí")+COUNTIF(J13:J14,"Sí")</f>
        <v>0</v>
      </c>
    </row>
    <row r="18" customFormat="false" ht="18" hidden="false" customHeight="true" outlineLevel="0" collapsed="false">
      <c r="A18" s="10" t="s">
        <v>68</v>
      </c>
      <c r="B18" s="11" t="n">
        <f aca="false">COUNTIF(J6:J11,"Tal vez")+COUNTIF(J13:J14,"Tal vez")</f>
        <v>0</v>
      </c>
    </row>
    <row r="19" customFormat="false" ht="18" hidden="false" customHeight="true" outlineLevel="0" collapsed="false">
      <c r="A19" s="10" t="s">
        <v>69</v>
      </c>
      <c r="B19" s="11" t="n">
        <f aca="false">COUNTIF(J6:J11,"No")+COUNTIF(J13:J14,"No")</f>
        <v>0</v>
      </c>
    </row>
    <row r="20" customFormat="false" ht="18" hidden="false" customHeight="true" outlineLevel="0" collapsed="false">
      <c r="A20" s="10" t="s">
        <v>70</v>
      </c>
      <c r="B20" s="11" t="n">
        <f aca="false">COUNTIF(J6:J11,"Sí")+COUNTIF(J13:J14,"Sí")+COUNTIF(J6:J11,"Tal vez")+COUNTIF(J13:J14,"Tal vez")</f>
        <v>0</v>
      </c>
    </row>
  </sheetData>
  <mergeCells count="5">
    <mergeCell ref="A1:K1"/>
    <mergeCell ref="A2:K2"/>
    <mergeCell ref="A5:K5"/>
    <mergeCell ref="A12:K12"/>
    <mergeCell ref="A16:D16"/>
  </mergeCells>
  <dataValidations count="1">
    <dataValidation allowBlank="true" errorStyle="stop" operator="between" showDropDown="false" showErrorMessage="false" showInputMessage="false" sqref="J6:J11 J13:J14" type="list">
      <formula1>"Sí,No,Tal vez"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70"/>
    <col collapsed="false" customWidth="true" hidden="false" outlineLevel="0" max="3" min="3" style="1" width="22"/>
    <col collapsed="false" customWidth="true" hidden="false" outlineLevel="0" max="4" min="4" style="1" width="4"/>
    <col collapsed="false" customWidth="true" hidden="false" outlineLevel="0" max="5" min="5" style="1" width="22"/>
  </cols>
  <sheetData>
    <row r="1" customFormat="false" ht="27.75" hidden="false" customHeight="true" outlineLevel="0" collapsed="false">
      <c r="A1" s="2" t="s">
        <v>71</v>
      </c>
      <c r="B1" s="2"/>
      <c r="C1" s="2"/>
      <c r="D1" s="2"/>
      <c r="E1" s="2"/>
    </row>
    <row r="2" customFormat="false" ht="30" hidden="false" customHeight="true" outlineLevel="0" collapsed="false">
      <c r="A2" s="3" t="s">
        <v>72</v>
      </c>
      <c r="B2" s="3"/>
      <c r="C2" s="3"/>
      <c r="D2" s="3"/>
      <c r="E2" s="3"/>
    </row>
    <row r="4" customFormat="false" ht="15" hidden="false" customHeight="true" outlineLevel="0" collapsed="false">
      <c r="A4" s="12" t="s">
        <v>73</v>
      </c>
      <c r="B4" s="13" t="s">
        <v>74</v>
      </c>
      <c r="C4" s="13"/>
      <c r="D4" s="13"/>
      <c r="E4" s="13"/>
    </row>
    <row r="6" customFormat="false" ht="24" hidden="false" customHeight="true" outlineLevel="0" collapsed="false">
      <c r="A6" s="4" t="s">
        <v>2</v>
      </c>
      <c r="B6" s="4" t="s">
        <v>75</v>
      </c>
      <c r="C6" s="4" t="s">
        <v>76</v>
      </c>
    </row>
    <row r="8" customFormat="false" ht="21.75" hidden="false" customHeight="true" outlineLevel="0" collapsed="false">
      <c r="A8" s="14" t="s">
        <v>77</v>
      </c>
      <c r="B8" s="14"/>
      <c r="C8" s="14"/>
      <c r="D8" s="14"/>
      <c r="E8" s="14"/>
    </row>
    <row r="9" customFormat="false" ht="31.5" hidden="false" customHeight="true" outlineLevel="0" collapsed="false">
      <c r="A9" s="15" t="s">
        <v>78</v>
      </c>
      <c r="B9" s="16" t="s">
        <v>79</v>
      </c>
      <c r="C9" s="17"/>
    </row>
    <row r="10" customFormat="false" ht="31.5" hidden="false" customHeight="true" outlineLevel="0" collapsed="false">
      <c r="A10" s="15" t="s">
        <v>80</v>
      </c>
      <c r="B10" s="16" t="s">
        <v>81</v>
      </c>
      <c r="C10" s="17"/>
    </row>
    <row r="11" customFormat="false" ht="31.5" hidden="false" customHeight="true" outlineLevel="0" collapsed="false">
      <c r="A11" s="15" t="s">
        <v>82</v>
      </c>
      <c r="B11" s="16" t="s">
        <v>83</v>
      </c>
      <c r="C11" s="17"/>
    </row>
    <row r="12" customFormat="false" ht="31.5" hidden="false" customHeight="true" outlineLevel="0" collapsed="false">
      <c r="A12" s="15" t="s">
        <v>84</v>
      </c>
      <c r="B12" s="16" t="s">
        <v>85</v>
      </c>
      <c r="C12" s="17"/>
    </row>
    <row r="14" customFormat="false" ht="21.75" hidden="false" customHeight="true" outlineLevel="0" collapsed="false">
      <c r="A14" s="5" t="s">
        <v>86</v>
      </c>
      <c r="B14" s="5"/>
      <c r="C14" s="5"/>
      <c r="D14" s="5"/>
      <c r="E14" s="5"/>
    </row>
    <row r="15" customFormat="false" ht="31.5" hidden="false" customHeight="true" outlineLevel="0" collapsed="false">
      <c r="A15" s="15" t="s">
        <v>87</v>
      </c>
      <c r="B15" s="16" t="s">
        <v>88</v>
      </c>
      <c r="C15" s="17"/>
    </row>
    <row r="16" customFormat="false" ht="31.5" hidden="false" customHeight="true" outlineLevel="0" collapsed="false">
      <c r="A16" s="15" t="s">
        <v>89</v>
      </c>
      <c r="B16" s="16" t="s">
        <v>90</v>
      </c>
      <c r="C16" s="17"/>
    </row>
    <row r="17" customFormat="false" ht="31.5" hidden="false" customHeight="true" outlineLevel="0" collapsed="false">
      <c r="A17" s="15" t="s">
        <v>91</v>
      </c>
      <c r="B17" s="16" t="s">
        <v>92</v>
      </c>
      <c r="C17" s="17"/>
    </row>
    <row r="18" customFormat="false" ht="31.5" hidden="false" customHeight="true" outlineLevel="0" collapsed="false">
      <c r="A18" s="15" t="s">
        <v>93</v>
      </c>
      <c r="B18" s="16" t="s">
        <v>94</v>
      </c>
      <c r="C18" s="17"/>
    </row>
    <row r="20" customFormat="false" ht="21.75" hidden="false" customHeight="true" outlineLevel="0" collapsed="false">
      <c r="A20" s="5" t="s">
        <v>95</v>
      </c>
      <c r="B20" s="5"/>
      <c r="C20" s="5"/>
      <c r="D20" s="5"/>
      <c r="E20" s="5"/>
    </row>
    <row r="21" customFormat="false" ht="31.5" hidden="false" customHeight="true" outlineLevel="0" collapsed="false">
      <c r="A21" s="15" t="s">
        <v>96</v>
      </c>
      <c r="B21" s="16" t="s">
        <v>97</v>
      </c>
      <c r="C21" s="17"/>
    </row>
    <row r="22" customFormat="false" ht="31.5" hidden="false" customHeight="true" outlineLevel="0" collapsed="false">
      <c r="A22" s="15" t="s">
        <v>98</v>
      </c>
      <c r="B22" s="16" t="s">
        <v>99</v>
      </c>
      <c r="C22" s="17"/>
    </row>
    <row r="23" customFormat="false" ht="31.5" hidden="false" customHeight="true" outlineLevel="0" collapsed="false">
      <c r="A23" s="15" t="s">
        <v>100</v>
      </c>
      <c r="B23" s="16" t="s">
        <v>101</v>
      </c>
      <c r="C23" s="17"/>
    </row>
    <row r="24" customFormat="false" ht="31.5" hidden="false" customHeight="true" outlineLevel="0" collapsed="false">
      <c r="A24" s="15" t="s">
        <v>102</v>
      </c>
      <c r="B24" s="16" t="s">
        <v>103</v>
      </c>
      <c r="C24" s="17"/>
    </row>
    <row r="26" customFormat="false" ht="21.75" hidden="false" customHeight="true" outlineLevel="0" collapsed="false">
      <c r="A26" s="5" t="s">
        <v>104</v>
      </c>
      <c r="B26" s="5"/>
      <c r="C26" s="5"/>
      <c r="D26" s="5"/>
      <c r="E26" s="5"/>
    </row>
    <row r="27" customFormat="false" ht="31.5" hidden="false" customHeight="true" outlineLevel="0" collapsed="false">
      <c r="A27" s="15" t="s">
        <v>105</v>
      </c>
      <c r="B27" s="16" t="s">
        <v>106</v>
      </c>
      <c r="C27" s="17"/>
    </row>
    <row r="28" customFormat="false" ht="31.5" hidden="false" customHeight="true" outlineLevel="0" collapsed="false">
      <c r="A28" s="15" t="s">
        <v>107</v>
      </c>
      <c r="B28" s="16" t="s">
        <v>108</v>
      </c>
      <c r="C28" s="17"/>
    </row>
    <row r="29" customFormat="false" ht="31.5" hidden="false" customHeight="true" outlineLevel="0" collapsed="false">
      <c r="A29" s="15" t="s">
        <v>109</v>
      </c>
      <c r="B29" s="16" t="s">
        <v>110</v>
      </c>
      <c r="C29" s="17"/>
    </row>
    <row r="30" customFormat="false" ht="31.5" hidden="false" customHeight="true" outlineLevel="0" collapsed="false">
      <c r="A30" s="15" t="s">
        <v>111</v>
      </c>
      <c r="B30" s="16" t="s">
        <v>112</v>
      </c>
      <c r="C30" s="17"/>
    </row>
    <row r="32" customFormat="false" ht="24" hidden="false" customHeight="true" outlineLevel="0" collapsed="false">
      <c r="A32" s="18" t="s">
        <v>113</v>
      </c>
      <c r="B32" s="18"/>
      <c r="C32" s="18"/>
      <c r="D32" s="18"/>
      <c r="E32" s="18"/>
    </row>
    <row r="33" customFormat="false" ht="15" hidden="false" customHeight="true" outlineLevel="0" collapsed="false">
      <c r="A33" s="19" t="s">
        <v>114</v>
      </c>
      <c r="B33" s="19"/>
      <c r="C33" s="15" t="n">
        <f aca="false">IFERROR(AVERAGE(C9:C12),0)</f>
        <v>0</v>
      </c>
      <c r="D33" s="20" t="str">
        <f aca="false">IF(C33=0,"Sin datos",IF(C33&gt;=3.5,"Pain ALTO",IF(C33&gt;=2.5,"Pain MEDIO","Pain BAJO")))</f>
        <v>No data</v>
      </c>
      <c r="E33" s="20"/>
    </row>
    <row r="34" customFormat="false" ht="15" hidden="false" customHeight="true" outlineLevel="0" collapsed="false">
      <c r="A34" s="19" t="s">
        <v>115</v>
      </c>
      <c r="B34" s="19"/>
      <c r="C34" s="15" t="n">
        <f aca="false">IFERROR(AVERAGE(C15:C18,C21:C24,C27:C30),0)</f>
        <v>0</v>
      </c>
      <c r="D34" s="20" t="str">
        <f aca="false">IF(C34=0,"Sin datos",IF(C34&gt;=3.5,"Readiness ALTA",IF(C34&gt;=2.5,"Readiness MEDIA","Readiness BAJA")))</f>
        <v> No data</v>
      </c>
      <c r="E34" s="20"/>
    </row>
    <row r="36" customFormat="false" ht="24" hidden="false" customHeight="true" outlineLevel="0" collapsed="false">
      <c r="A36" s="21" t="s">
        <v>116</v>
      </c>
      <c r="B36" s="22" t="str">
        <f aca="false">IF(OR(C33=0,C34=0),"Completa primero el cuestionario",IF(AND(C33&gt;=3.5,C34&gt;=3.5),"QUICK WIN PRIORITARIO — Avanzar ahora",IF(AND(C33&gt;=3.5,C34&lt;3.5),"INVERTIR EN HABILITADORES — Pain alto pero falta readiness",IF(AND(C33&lt;3.5,C34&gt;=3.5),"OPORTUNIDAD SIN URGENCIA — Capacidad sí, pain no","AÚN NO ES MOMENTO — Construir capacidad antes"))))</f>
        <v> First, complete the questionnaire.</v>
      </c>
      <c r="C36" s="22"/>
      <c r="D36" s="22"/>
      <c r="E36" s="22"/>
    </row>
    <row r="39" customFormat="false" ht="15" hidden="false" customHeight="true" outlineLevel="0" collapsed="false">
      <c r="A39" s="23" t="s">
        <v>117</v>
      </c>
    </row>
    <row r="40" customFormat="false" ht="15" hidden="false" customHeight="true" outlineLevel="0" collapsed="false">
      <c r="A40" s="23" t="s">
        <v>118</v>
      </c>
      <c r="B40" s="24" t="n">
        <f aca="false">IFERROR(AVERAGE(C9:C12),0)</f>
        <v>0</v>
      </c>
    </row>
    <row r="41" customFormat="false" ht="15" hidden="false" customHeight="true" outlineLevel="0" collapsed="false">
      <c r="A41" s="23" t="s">
        <v>119</v>
      </c>
      <c r="B41" s="24" t="n">
        <f aca="false">IFERROR(AVERAGE(C15:C18),0)</f>
        <v>0</v>
      </c>
    </row>
    <row r="42" customFormat="false" ht="15" hidden="false" customHeight="true" outlineLevel="0" collapsed="false">
      <c r="A42" s="23" t="s">
        <v>120</v>
      </c>
      <c r="B42" s="24" t="n">
        <f aca="false">IFERROR(AVERAGE(C21:C24),0)</f>
        <v>0</v>
      </c>
    </row>
    <row r="43" customFormat="false" ht="15" hidden="false" customHeight="true" outlineLevel="0" collapsed="false">
      <c r="A43" s="23" t="s">
        <v>121</v>
      </c>
      <c r="B43" s="24" t="n">
        <f aca="false">IFERROR(AVERAGE(C27:C30),0)</f>
        <v>0</v>
      </c>
    </row>
    <row r="46" customFormat="false" ht="21.75" hidden="false" customHeight="true" outlineLevel="0" collapsed="false">
      <c r="A46" s="18" t="s">
        <v>122</v>
      </c>
      <c r="B46" s="18"/>
      <c r="C46" s="18"/>
      <c r="D46" s="18"/>
      <c r="E46" s="18"/>
    </row>
    <row r="47" customFormat="false" ht="26.25" hidden="false" customHeight="true" outlineLevel="0" collapsed="false">
      <c r="B47" s="15" t="s">
        <v>123</v>
      </c>
      <c r="C47" s="15" t="s">
        <v>124</v>
      </c>
    </row>
    <row r="48" customFormat="false" ht="51.75" hidden="false" customHeight="true" outlineLevel="0" collapsed="false">
      <c r="A48" s="4" t="s">
        <v>125</v>
      </c>
      <c r="B48" s="25" t="s">
        <v>126</v>
      </c>
      <c r="C48" s="4" t="s">
        <v>127</v>
      </c>
    </row>
    <row r="49" customFormat="false" ht="51.75" hidden="false" customHeight="true" outlineLevel="0" collapsed="false">
      <c r="A49" s="4" t="s">
        <v>128</v>
      </c>
      <c r="B49" s="25" t="s">
        <v>129</v>
      </c>
      <c r="C49" s="25" t="s">
        <v>130</v>
      </c>
    </row>
  </sheetData>
  <mergeCells count="14">
    <mergeCell ref="A1:E1"/>
    <mergeCell ref="A2:E2"/>
    <mergeCell ref="B4:E4"/>
    <mergeCell ref="A8:E8"/>
    <mergeCell ref="A14:E14"/>
    <mergeCell ref="A20:E20"/>
    <mergeCell ref="A26:E26"/>
    <mergeCell ref="A32:E32"/>
    <mergeCell ref="A33:B33"/>
    <mergeCell ref="D33:E33"/>
    <mergeCell ref="A34:B34"/>
    <mergeCell ref="D34:E34"/>
    <mergeCell ref="B36:E36"/>
    <mergeCell ref="A46:E46"/>
  </mergeCells>
  <dataValidations count="1">
    <dataValidation allowBlank="true" errorStyle="stop" operator="between" showDropDown="false" showErrorMessage="false" showInputMessage="false" sqref="C9:C12 C15:C18 C21:C24 C27:C3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2"/>
    <col collapsed="false" customWidth="true" hidden="false" outlineLevel="0" max="4" min="2" style="1" width="28"/>
  </cols>
  <sheetData>
    <row r="1" customFormat="false" ht="27.75" hidden="false" customHeight="true" outlineLevel="0" collapsed="false">
      <c r="A1" s="2" t="s">
        <v>131</v>
      </c>
      <c r="B1" s="2"/>
      <c r="C1" s="2"/>
      <c r="D1" s="2"/>
    </row>
    <row r="2" customFormat="false" ht="30" hidden="false" customHeight="true" outlineLevel="0" collapsed="false">
      <c r="A2" s="3" t="s">
        <v>132</v>
      </c>
      <c r="B2" s="3"/>
      <c r="C2" s="3"/>
      <c r="D2" s="3"/>
    </row>
    <row r="4" customFormat="false" ht="21.75" hidden="false" customHeight="true" outlineLevel="0" collapsed="false">
      <c r="A4" s="5" t="s">
        <v>133</v>
      </c>
      <c r="B4" s="5"/>
      <c r="C4" s="5"/>
      <c r="D4" s="5"/>
    </row>
    <row r="5" customFormat="false" ht="15" hidden="false" customHeight="true" outlineLevel="0" collapsed="false">
      <c r="A5" s="26" t="s">
        <v>134</v>
      </c>
      <c r="B5" s="26"/>
      <c r="C5" s="26"/>
      <c r="D5" s="26"/>
    </row>
    <row r="6" customFormat="false" ht="36" hidden="false" customHeight="true" outlineLevel="0" collapsed="false">
      <c r="A6" s="27" t="s">
        <v>135</v>
      </c>
      <c r="B6" s="27"/>
      <c r="C6" s="27"/>
      <c r="D6" s="27"/>
    </row>
    <row r="7" customFormat="false" ht="21.75" hidden="false" customHeight="true" outlineLevel="0" collapsed="false">
      <c r="A7" s="5" t="s">
        <v>136</v>
      </c>
      <c r="B7" s="5"/>
      <c r="C7" s="5"/>
      <c r="D7" s="5"/>
    </row>
    <row r="8" customFormat="false" ht="15" hidden="false" customHeight="true" outlineLevel="0" collapsed="false">
      <c r="A8" s="26" t="s">
        <v>137</v>
      </c>
      <c r="B8" s="26"/>
      <c r="C8" s="26"/>
      <c r="D8" s="26"/>
    </row>
    <row r="9" customFormat="false" ht="36" hidden="false" customHeight="true" outlineLevel="0" collapsed="false">
      <c r="A9" s="27" t="s">
        <v>138</v>
      </c>
      <c r="B9" s="27"/>
      <c r="C9" s="27"/>
      <c r="D9" s="27"/>
    </row>
    <row r="10" customFormat="false" ht="21.75" hidden="false" customHeight="true" outlineLevel="0" collapsed="false">
      <c r="A10" s="5" t="s">
        <v>139</v>
      </c>
      <c r="B10" s="5"/>
      <c r="C10" s="5"/>
      <c r="D10" s="5"/>
    </row>
    <row r="11" customFormat="false" ht="15" hidden="false" customHeight="true" outlineLevel="0" collapsed="false">
      <c r="A11" s="26" t="s">
        <v>140</v>
      </c>
      <c r="B11" s="26"/>
      <c r="C11" s="26"/>
      <c r="D11" s="26"/>
    </row>
    <row r="12" customFormat="false" ht="36" hidden="false" customHeight="true" outlineLevel="0" collapsed="false">
      <c r="A12" s="27" t="s">
        <v>141</v>
      </c>
      <c r="B12" s="27"/>
      <c r="C12" s="27"/>
      <c r="D12" s="27"/>
    </row>
    <row r="13" customFormat="false" ht="21.75" hidden="false" customHeight="true" outlineLevel="0" collapsed="false">
      <c r="A13" s="5" t="s">
        <v>142</v>
      </c>
      <c r="B13" s="5"/>
      <c r="C13" s="5"/>
      <c r="D13" s="5"/>
    </row>
    <row r="14" customFormat="false" ht="15" hidden="false" customHeight="true" outlineLevel="0" collapsed="false">
      <c r="A14" s="26" t="s">
        <v>143</v>
      </c>
      <c r="B14" s="26"/>
      <c r="C14" s="26"/>
      <c r="D14" s="26"/>
    </row>
    <row r="15" customFormat="false" ht="36" hidden="false" customHeight="true" outlineLevel="0" collapsed="false">
      <c r="A15" s="27" t="s">
        <v>144</v>
      </c>
      <c r="B15" s="27"/>
      <c r="C15" s="27"/>
      <c r="D15" s="27"/>
    </row>
    <row r="16" customFormat="false" ht="21.75" hidden="false" customHeight="true" outlineLevel="0" collapsed="false">
      <c r="A16" s="5" t="s">
        <v>145</v>
      </c>
      <c r="B16" s="5"/>
      <c r="C16" s="5"/>
      <c r="D16" s="5"/>
    </row>
    <row r="17" customFormat="false" ht="15" hidden="false" customHeight="true" outlineLevel="0" collapsed="false">
      <c r="A17" s="26" t="s">
        <v>146</v>
      </c>
      <c r="B17" s="26"/>
      <c r="C17" s="26"/>
      <c r="D17" s="26"/>
    </row>
    <row r="18" customFormat="false" ht="36" hidden="false" customHeight="true" outlineLevel="0" collapsed="false">
      <c r="A18" s="27" t="s">
        <v>147</v>
      </c>
      <c r="B18" s="27"/>
      <c r="C18" s="27"/>
      <c r="D18" s="27"/>
    </row>
    <row r="19" customFormat="false" ht="21.75" hidden="false" customHeight="true" outlineLevel="0" collapsed="false">
      <c r="A19" s="5" t="s">
        <v>148</v>
      </c>
      <c r="B19" s="5"/>
      <c r="C19" s="5"/>
      <c r="D19" s="5"/>
    </row>
    <row r="20" customFormat="false" ht="15" hidden="false" customHeight="true" outlineLevel="0" collapsed="false">
      <c r="A20" s="26" t="s">
        <v>149</v>
      </c>
      <c r="B20" s="26"/>
      <c r="C20" s="26"/>
      <c r="D20" s="26"/>
    </row>
    <row r="21" customFormat="false" ht="36" hidden="false" customHeight="true" outlineLevel="0" collapsed="false">
      <c r="A21" s="27" t="s">
        <v>150</v>
      </c>
      <c r="B21" s="27"/>
      <c r="C21" s="27"/>
      <c r="D21" s="27"/>
    </row>
    <row r="22" customFormat="false" ht="21.75" hidden="false" customHeight="true" outlineLevel="0" collapsed="false">
      <c r="A22" s="5" t="s">
        <v>151</v>
      </c>
      <c r="B22" s="5"/>
      <c r="C22" s="5"/>
      <c r="D22" s="5"/>
    </row>
    <row r="23" customFormat="false" ht="15" hidden="false" customHeight="true" outlineLevel="0" collapsed="false">
      <c r="A23" s="26" t="s">
        <v>152</v>
      </c>
      <c r="B23" s="26"/>
      <c r="C23" s="26"/>
      <c r="D23" s="26"/>
    </row>
    <row r="24" customFormat="false" ht="36" hidden="false" customHeight="true" outlineLevel="0" collapsed="false">
      <c r="A24" s="27" t="s">
        <v>153</v>
      </c>
      <c r="B24" s="27"/>
      <c r="C24" s="27"/>
      <c r="D24" s="27"/>
    </row>
    <row r="25" customFormat="false" ht="21.75" hidden="false" customHeight="true" outlineLevel="0" collapsed="false">
      <c r="A25" s="5" t="s">
        <v>154</v>
      </c>
      <c r="B25" s="5"/>
      <c r="C25" s="5"/>
      <c r="D25" s="5"/>
    </row>
    <row r="26" customFormat="false" ht="15" hidden="false" customHeight="true" outlineLevel="0" collapsed="false">
      <c r="A26" s="26" t="s">
        <v>155</v>
      </c>
      <c r="B26" s="26"/>
      <c r="C26" s="26"/>
      <c r="D26" s="26"/>
    </row>
    <row r="27" customFormat="false" ht="36" hidden="false" customHeight="true" outlineLevel="0" collapsed="false">
      <c r="A27" s="27" t="s">
        <v>156</v>
      </c>
      <c r="B27" s="27"/>
      <c r="C27" s="27"/>
      <c r="D27" s="27"/>
    </row>
    <row r="28" customFormat="false" ht="21.75" hidden="false" customHeight="true" outlineLevel="0" collapsed="false">
      <c r="A28" s="5" t="s">
        <v>157</v>
      </c>
      <c r="B28" s="5"/>
      <c r="C28" s="5"/>
      <c r="D28" s="5"/>
    </row>
    <row r="29" customFormat="false" ht="15" hidden="false" customHeight="true" outlineLevel="0" collapsed="false">
      <c r="A29" s="26" t="s">
        <v>158</v>
      </c>
      <c r="B29" s="26"/>
      <c r="C29" s="26"/>
      <c r="D29" s="26"/>
    </row>
    <row r="30" customFormat="false" ht="36" hidden="false" customHeight="true" outlineLevel="0" collapsed="false">
      <c r="A30" s="27" t="s">
        <v>159</v>
      </c>
      <c r="B30" s="27"/>
      <c r="C30" s="27"/>
      <c r="D30" s="27"/>
    </row>
    <row r="31" customFormat="false" ht="21.75" hidden="false" customHeight="true" outlineLevel="0" collapsed="false">
      <c r="A31" s="5" t="s">
        <v>160</v>
      </c>
      <c r="B31" s="5"/>
      <c r="C31" s="5"/>
      <c r="D31" s="5"/>
    </row>
    <row r="32" customFormat="false" ht="15" hidden="false" customHeight="true" outlineLevel="0" collapsed="false">
      <c r="A32" s="26" t="s">
        <v>161</v>
      </c>
      <c r="B32" s="26"/>
      <c r="C32" s="26"/>
      <c r="D32" s="26"/>
    </row>
    <row r="33" customFormat="false" ht="36" hidden="false" customHeight="true" outlineLevel="0" collapsed="false">
      <c r="A33" s="27" t="s">
        <v>162</v>
      </c>
      <c r="B33" s="27"/>
      <c r="C33" s="27"/>
      <c r="D33" s="27"/>
    </row>
    <row r="35" customFormat="false" ht="21.75" hidden="false" customHeight="true" outlineLevel="0" collapsed="false">
      <c r="A35" s="18" t="s">
        <v>163</v>
      </c>
      <c r="B35" s="18"/>
      <c r="C35" s="18"/>
      <c r="D35" s="18"/>
    </row>
    <row r="36" customFormat="false" ht="36" hidden="false" customHeight="true" outlineLevel="0" collapsed="false">
      <c r="A36" s="28" t="s">
        <v>164</v>
      </c>
      <c r="B36" s="28"/>
      <c r="C36" s="28"/>
      <c r="D36" s="28"/>
    </row>
  </sheetData>
  <mergeCells count="34">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5:D35"/>
    <mergeCell ref="A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70"/>
    <col collapsed="false" customWidth="true" hidden="false" outlineLevel="0" max="2" min="2" style="1" width="20"/>
    <col collapsed="false" customWidth="true" hidden="false" outlineLevel="0" max="3" min="3" style="1" width="38"/>
    <col collapsed="false" customWidth="true" hidden="false" outlineLevel="0" max="4" min="4" style="1" width="4"/>
  </cols>
  <sheetData>
    <row r="1" customFormat="false" ht="27.75" hidden="false" customHeight="true" outlineLevel="0" collapsed="false">
      <c r="A1" s="2" t="s">
        <v>165</v>
      </c>
      <c r="B1" s="2"/>
      <c r="C1" s="2"/>
      <c r="D1" s="2"/>
    </row>
    <row r="2" customFormat="false" ht="30" hidden="false" customHeight="true" outlineLevel="0" collapsed="false">
      <c r="A2" s="3" t="s">
        <v>166</v>
      </c>
      <c r="B2" s="3"/>
      <c r="C2" s="3"/>
      <c r="D2" s="3"/>
    </row>
    <row r="4" customFormat="false" ht="24" hidden="false" customHeight="true" outlineLevel="0" collapsed="false">
      <c r="A4" s="4" t="s">
        <v>167</v>
      </c>
      <c r="B4" s="4" t="s">
        <v>168</v>
      </c>
      <c r="C4" s="4" t="s">
        <v>169</v>
      </c>
    </row>
    <row r="5" customFormat="false" ht="21.75" hidden="false" customHeight="true" outlineLevel="0" collapsed="false">
      <c r="A5" s="5" t="s">
        <v>170</v>
      </c>
      <c r="B5" s="5"/>
      <c r="C5" s="5"/>
      <c r="D5" s="29"/>
    </row>
    <row r="6" customFormat="false" ht="27.75" hidden="false" customHeight="true" outlineLevel="0" collapsed="false">
      <c r="A6" s="30" t="s">
        <v>171</v>
      </c>
      <c r="B6" s="17"/>
      <c r="C6" s="30"/>
    </row>
    <row r="7" customFormat="false" ht="27.75" hidden="false" customHeight="true" outlineLevel="0" collapsed="false">
      <c r="A7" s="30" t="s">
        <v>172</v>
      </c>
      <c r="B7" s="17"/>
      <c r="C7" s="30"/>
    </row>
    <row r="8" customFormat="false" ht="27.75" hidden="false" customHeight="true" outlineLevel="0" collapsed="false">
      <c r="A8" s="30" t="s">
        <v>173</v>
      </c>
      <c r="B8" s="17"/>
      <c r="C8" s="30"/>
    </row>
    <row r="9" customFormat="false" ht="27.75" hidden="false" customHeight="true" outlineLevel="0" collapsed="false">
      <c r="A9" s="30" t="s">
        <v>174</v>
      </c>
      <c r="B9" s="17"/>
      <c r="C9" s="30"/>
    </row>
    <row r="10" customFormat="false" ht="21.75" hidden="false" customHeight="true" outlineLevel="0" collapsed="false">
      <c r="A10" s="5" t="s">
        <v>175</v>
      </c>
      <c r="B10" s="5"/>
      <c r="C10" s="5"/>
      <c r="D10" s="29"/>
    </row>
    <row r="11" customFormat="false" ht="27.75" hidden="false" customHeight="true" outlineLevel="0" collapsed="false">
      <c r="A11" s="30" t="s">
        <v>176</v>
      </c>
      <c r="B11" s="17"/>
      <c r="C11" s="30"/>
    </row>
    <row r="12" customFormat="false" ht="27.75" hidden="false" customHeight="true" outlineLevel="0" collapsed="false">
      <c r="A12" s="30" t="s">
        <v>177</v>
      </c>
      <c r="B12" s="17"/>
      <c r="C12" s="30"/>
    </row>
    <row r="13" customFormat="false" ht="27.75" hidden="false" customHeight="true" outlineLevel="0" collapsed="false">
      <c r="A13" s="30" t="s">
        <v>178</v>
      </c>
      <c r="B13" s="17"/>
      <c r="C13" s="30"/>
    </row>
    <row r="14" customFormat="false" ht="27.75" hidden="false" customHeight="true" outlineLevel="0" collapsed="false">
      <c r="A14" s="30" t="s">
        <v>179</v>
      </c>
      <c r="B14" s="17"/>
      <c r="C14" s="30"/>
    </row>
    <row r="15" customFormat="false" ht="21.75" hidden="false" customHeight="true" outlineLevel="0" collapsed="false">
      <c r="A15" s="5" t="s">
        <v>180</v>
      </c>
      <c r="B15" s="5"/>
      <c r="C15" s="5"/>
      <c r="D15" s="29"/>
    </row>
    <row r="16" customFormat="false" ht="27.75" hidden="false" customHeight="true" outlineLevel="0" collapsed="false">
      <c r="A16" s="30" t="s">
        <v>181</v>
      </c>
      <c r="B16" s="17"/>
      <c r="C16" s="30"/>
    </row>
    <row r="17" customFormat="false" ht="27.75" hidden="false" customHeight="true" outlineLevel="0" collapsed="false">
      <c r="A17" s="30" t="s">
        <v>182</v>
      </c>
      <c r="B17" s="17"/>
      <c r="C17" s="30"/>
    </row>
    <row r="18" customFormat="false" ht="27.75" hidden="false" customHeight="true" outlineLevel="0" collapsed="false">
      <c r="A18" s="30" t="s">
        <v>183</v>
      </c>
      <c r="B18" s="17"/>
      <c r="C18" s="30"/>
    </row>
    <row r="19" customFormat="false" ht="27.75" hidden="false" customHeight="true" outlineLevel="0" collapsed="false">
      <c r="A19" s="30" t="s">
        <v>184</v>
      </c>
      <c r="B19" s="17"/>
      <c r="C19" s="30"/>
    </row>
    <row r="20" customFormat="false" ht="21.75" hidden="false" customHeight="true" outlineLevel="0" collapsed="false">
      <c r="A20" s="5" t="s">
        <v>185</v>
      </c>
      <c r="B20" s="5"/>
      <c r="C20" s="5"/>
      <c r="D20" s="29"/>
    </row>
    <row r="21" customFormat="false" ht="27.75" hidden="false" customHeight="true" outlineLevel="0" collapsed="false">
      <c r="A21" s="30" t="s">
        <v>186</v>
      </c>
      <c r="B21" s="17"/>
      <c r="C21" s="30"/>
    </row>
    <row r="22" customFormat="false" ht="27.75" hidden="false" customHeight="true" outlineLevel="0" collapsed="false">
      <c r="A22" s="30" t="s">
        <v>187</v>
      </c>
      <c r="B22" s="17"/>
      <c r="C22" s="30"/>
    </row>
    <row r="23" customFormat="false" ht="27.75" hidden="false" customHeight="true" outlineLevel="0" collapsed="false">
      <c r="A23" s="30" t="s">
        <v>188</v>
      </c>
      <c r="B23" s="17"/>
      <c r="C23" s="30"/>
    </row>
    <row r="24" customFormat="false" ht="27.75" hidden="false" customHeight="true" outlineLevel="0" collapsed="false">
      <c r="A24" s="30" t="s">
        <v>189</v>
      </c>
      <c r="B24" s="17"/>
      <c r="C24" s="30"/>
    </row>
    <row r="25" customFormat="false" ht="21.75" hidden="false" customHeight="true" outlineLevel="0" collapsed="false">
      <c r="A25" s="5" t="s">
        <v>190</v>
      </c>
      <c r="B25" s="5"/>
      <c r="C25" s="5"/>
      <c r="D25" s="29"/>
    </row>
    <row r="26" customFormat="false" ht="27.75" hidden="false" customHeight="true" outlineLevel="0" collapsed="false">
      <c r="A26" s="30" t="s">
        <v>191</v>
      </c>
      <c r="B26" s="17"/>
      <c r="C26" s="30"/>
    </row>
    <row r="27" customFormat="false" ht="27.75" hidden="false" customHeight="true" outlineLevel="0" collapsed="false">
      <c r="A27" s="30" t="s">
        <v>192</v>
      </c>
      <c r="B27" s="17"/>
      <c r="C27" s="30"/>
    </row>
    <row r="28" customFormat="false" ht="27.75" hidden="false" customHeight="true" outlineLevel="0" collapsed="false">
      <c r="A28" s="30" t="s">
        <v>193</v>
      </c>
      <c r="B28" s="17"/>
      <c r="C28" s="30"/>
    </row>
    <row r="29" customFormat="false" ht="27.75" hidden="false" customHeight="true" outlineLevel="0" collapsed="false">
      <c r="A29" s="30" t="s">
        <v>194</v>
      </c>
      <c r="B29" s="17"/>
      <c r="C29" s="30"/>
    </row>
    <row r="31" customFormat="false" ht="24" hidden="false" customHeight="true" outlineLevel="0" collapsed="false">
      <c r="A31" s="18" t="s">
        <v>195</v>
      </c>
      <c r="B31" s="18"/>
      <c r="C31" s="18"/>
      <c r="D31" s="29"/>
    </row>
    <row r="32" customFormat="false" ht="15" hidden="false" customHeight="true" outlineLevel="0" collapsed="false">
      <c r="A32" s="12" t="s">
        <v>196</v>
      </c>
      <c r="B32" s="15" t="n">
        <f aca="false">COUNTIF(B6:B9,"Sí")+COUNTIF(B11:B14,"Sí")+COUNTIF(B16:B19,"Sí")+COUNTIF(B21:B24,"Sí")+COUNTIF(B26:B29,"Sí")</f>
        <v>0</v>
      </c>
    </row>
    <row r="33" customFormat="false" ht="15" hidden="false" customHeight="true" outlineLevel="0" collapsed="false">
      <c r="A33" s="12" t="s">
        <v>197</v>
      </c>
      <c r="B33" s="15" t="n">
        <f aca="false">COUNTIF(B6:B9,"Parcial")+COUNTIF(B11:B14,"Parcial")+COUNTIF(B16:B19,"Parcial")+COUNTIF(B21:B24,"Parcial")+COUNTIF(B26:B29,"Parcial")</f>
        <v>0</v>
      </c>
    </row>
    <row r="34" customFormat="false" ht="15" hidden="false" customHeight="true" outlineLevel="0" collapsed="false">
      <c r="A34" s="12" t="s">
        <v>198</v>
      </c>
      <c r="B34" s="15" t="n">
        <f aca="false">COUNTIF(B6:B9,"No")+COUNTIF(B11:B14,"No")+COUNTIF(B16:B19,"No")+COUNTIF(B21:B24,"No")+COUNTIF(B26:B29,"No")</f>
        <v>0</v>
      </c>
    </row>
    <row r="35" customFormat="false" ht="15" hidden="false" customHeight="true" outlineLevel="0" collapsed="false">
      <c r="A35" s="12" t="s">
        <v>199</v>
      </c>
      <c r="B35" s="15" t="n">
        <f aca="false">COUNTIF(B6:B9,"No aplica")+COUNTIF(B11:B14,"No aplica")+COUNTIF(B16:B19,"No aplica")+COUNTIF(B21:B24,"No aplica")+COUNTIF(B26:B29,"No aplica")</f>
        <v>0</v>
      </c>
    </row>
    <row r="37" customFormat="false" ht="15.75" hidden="false" customHeight="true" outlineLevel="0" collapsed="false">
      <c r="A37" s="21" t="s">
        <v>200</v>
      </c>
      <c r="B37" s="31" t="n">
        <f aca="false">IFERROR(((COUNTIF(B6:B9,"Sí")+COUNTIF(B11:B14,"Sí")+COUNTIF(B16:B19,"Sí")+COUNTIF(B21:B24,"Sí")+COUNTIF(B26:B29,"Sí"))+(COUNTIF(B6:B9,"Parcial")+COUNTIF(B11:B14,"Parcial")+COUNTIF(B16:B19,"Parcial")+COUNTIF(B21:B24,"Parcial")+COUNTIF(B26:B29,"Parcial"))*0.5)/((COUNTIF(B6:B9,"Sí")+COUNTIF(B11:B14,"Sí")+COUNTIF(B16:B19,"Sí")+COUNTIF(B21:B24,"Sí")+COUNTIF(B26:B29,"Sí"))+(COUNTIF(B6:B9,"Parcial")+COUNTIF(B11:B14,"Parcial")+COUNTIF(B16:B19,"Parcial")+COUNTIF(B21:B24,"Parcial")+COUNTIF(B26:B29,"Parcial"))+(COUNTIF(B6:B9,"No")+COUNTIF(B11:B14,"No")+COUNTIF(B16:B19,"No")+COUNTIF(B21:B24,"No")+COUNTIF(B26:B29,"No"))),0)</f>
        <v>0</v>
      </c>
    </row>
    <row r="39" customFormat="false" ht="36" hidden="false" customHeight="true" outlineLevel="0" collapsed="false">
      <c r="A39" s="21" t="s">
        <v>116</v>
      </c>
      <c r="B39" s="22" t="str">
        <f aca="false">IF(((COUNTIF(B6:B9,"Sí")+COUNTIF(B11:B14,"Sí")+COUNTIF(B16:B19,"Sí")+COUNTIF(B21:B24,"Sí")+COUNTIF(B26:B29,"Sí"))+(COUNTIF(B6:B9,"Parcial")+COUNTIF(B11:B14,"Parcial")+COUNTIF(B16:B19,"Parcial")+COUNTIF(B21:B24,"Parcial")+COUNTIF(B26:B29,"Parcial"))+(COUNTIF(B6:B9,"No")+COUNTIF(B11:B14,"No")+COUNTIF(B16:B19,"No")+COUNTIF(B21:B24,"No")+COUNTIF(B26:B29,"No")))=0,"Completa los habilitadores",IF(B37&gt;=0.7,"READY — Avanzar a casos GenAI/Agentic con confianza",IF(B37&gt;=0.4,"PARCIALMENTE READY — Empezar por Quick Wins de GenAI","NO READY — Invertir 3-6 meses en habilitadores antes de IA")))</f>
        <v> Complete the enablers</v>
      </c>
      <c r="C39" s="22"/>
      <c r="D39" s="22"/>
    </row>
  </sheetData>
  <mergeCells count="9">
    <mergeCell ref="A1:D1"/>
    <mergeCell ref="A2:D2"/>
    <mergeCell ref="A5:C5"/>
    <mergeCell ref="A10:C10"/>
    <mergeCell ref="A15:C15"/>
    <mergeCell ref="A20:C20"/>
    <mergeCell ref="A25:C25"/>
    <mergeCell ref="A31:C31"/>
    <mergeCell ref="B39:D39"/>
  </mergeCells>
  <dataValidations count="1">
    <dataValidation allowBlank="true" errorStyle="stop" operator="between" showDropDown="false" showErrorMessage="false" showInputMessage="false" sqref="B6:B9 B11:B14 B16:B19 B21:B24 B26:B29"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2026-05-04T12:17:39Z</dcterms:created>
  <dc:creator>openpyxl</dc:creator>
  <dc:description/>
  <dc:language>en-US</dc:language>
  <cp:lastModifiedBy/>
  <dcterms:modified xsi:type="dcterms:W3CDTF">2026-05-04T12:20:00Z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