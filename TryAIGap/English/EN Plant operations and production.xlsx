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Catalog" sheetId="1" state="visible" r:id="rId3"/>
    <sheet name=" Questionnaire" sheetId="2" state="visible" r:id="rId4"/>
    <sheet name=" Canvas" sheetId="3" state="visible" r:id="rId5"/>
    <sheet name=" Enabler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<sst xmlns="http://schemas.openxmlformats.org/spreadsheetml/2006/main" count="214" uniqueCount="202">
  <si>
    <t xml:space="preserve"> Use Case Catalog · Plant Operations (Industrial SME)</t>
  </si>
  <si>
    <t xml:space="preserve"> 10 cases organized into 4 categories. Mark in the last column those that apply to your plant.</t>
  </si>
  <si>
    <t xml:space="preserve"> #</t>
  </si>
  <si>
    <t xml:space="preserve"> Use case</t>
  </si>
  <si>
    <t xml:space="preserve"> Description</t>
  </si>
  <si>
    <t xml:space="preserve"> AI Family</t>
  </si>
  <si>
    <t xml:space="preserve"> Typical KPI</t>
  </si>
  <si>
    <t xml:space="preserve"> Required data</t>
  </si>
  <si>
    <t xml:space="preserve"> Effort</t>
  </si>
  <si>
    <t xml:space="preserve"> Maturity (1-5)</t>
  </si>
  <si>
    <t xml:space="preserve"> Compliance / Risk</t>
  </si>
  <si>
    <t xml:space="preserve"> Does it apply?</t>
  </si>
  <si>
    <t xml:space="preserve"> Grades</t>
  </si>
  <si>
    <t xml:space="preserve"> MAINTENANCE — Comprehensive app and support for the maintenance technician</t>
  </si>
  <si>
    <t xml:space="preserve"> Comprehensive smart maintenance app</t>
  </si>
  <si>
    <t xml:space="preserve"> A unique platform that predicts failures in critical machines, diagnoses the problem when it appears, and guides the maintenance technician with contextual instructions (videos, manuals, similar cases) from a mobile app with conversational co-pilot.</t>
  </si>
  <si>
    <t xml:space="preserve"> ML + GenAI / RAG</t>
  </si>
  <si>
    <t xml:space="preserve"> MTBF, MTTR, % of failures detected early, time to resolution</t>
  </si>
  <si>
    <t xml:space="preserve">Sensors on critical machines, downtime history, manuals and procedures, intervention log</t>
  </si>
  <si>
    <t xml:space="preserve"> Medium</t>
  </si>
  <si>
    <t xml:space="preserve"> Operational safety; human validation in interventions; traceability.</t>
  </si>
  <si>
    <t xml:space="preserve"> Preventive program based on actual condition</t>
  </si>
  <si>
    <t xml:space="preserve"> Optimize your preventive maintenance schedule based on the actual condition of your machines, not just the manufacturer's fixed schedule. Reduce unnecessary interventions and prevent critical issues.</t>
  </si>
  <si>
    <t xml:space="preserve"> Classic ML</t>
  </si>
  <si>
    <t xml:space="preserve"> Maintenance costs, downtime avoided, equipment lifespan</t>
  </si>
  <si>
    <t xml:space="preserve"> Maintenance history, machine condition, intervention costs</t>
  </si>
  <si>
    <t xml:space="preserve"> Maintenance policy; relationship with insurance and manufacturer warranties.</t>
  </si>
  <si>
    <t xml:space="preserve"> AI-assisted root cause analysis (post-failure)</t>
  </si>
  <si>
    <t xml:space="preserve"> When a failure occurs, AI correlates operational variables, previous events, and similar historical cases to suggest a likely root cause and corrective action.</t>
  </si>
  <si>
    <t xml:space="preserve"> ML + GenAI</t>
  </si>
  <si>
    <t xml:space="preserve">RCA analysis time, failure recurrence, organizational learning quality</t>
  </si>
  <si>
    <t xml:space="preserve"> Failure history, process variables, shift logs</t>
  </si>
  <si>
    <t xml:space="preserve"> Human validation of the root cause; bias towards known vs. new failures.</t>
  </si>
  <si>
    <t xml:space="preserve"> QUALITY — Detection, prediction and learning</t>
  </si>
  <si>
    <t xml:space="preserve"> Automated visual inspection of defects</t>
  </si>
  <si>
    <t xml:space="preserve"> Cameras + computer vision detect cosmetic or structural defects online, in real time, with a detection rate superior to human control.</t>
  </si>
  <si>
    <t xml:space="preserve"> Deep Learning / Vision</t>
  </si>
  <si>
    <t xml:space="preserve"> Defect rate detected, false positives, scrap, inspection time</t>
  </si>
  <si>
    <t xml:space="preserve"> Labeled images of OK and NOK products, standard lighting conditions</t>
  </si>
  <si>
    <t xml:space="preserve"> Image traceability; revalidation when the product changes; model tolerance to variations.</t>
  </si>
  <si>
    <t xml:space="preserve"> Quality prediction and process deviations</t>
  </si>
  <si>
    <t xml:space="preserve"> Predictive models detect conditions that will produce non-conformity before final control, allowing early online intervention.</t>
  </si>
  <si>
    <t xml:space="preserve">Non-conformity rate, scrap avoided, detection time</t>
  </si>
  <si>
    <t xml:space="preserve"> Process variables (temperature, pressure, speed), correlated quality records</t>
  </si>
  <si>
    <t xml:space="preserve"> Bias based on product/shift; recalibration with recipe changes.</t>
  </si>
  <si>
    <t xml:space="preserve"> Root cause analysis of non-conformities</t>
  </si>
  <si>
    <t xml:space="preserve"> Identify recurring patterns in non-conformities (shifts, raw materials, machines, conditions) and propose probable root cause + actions.</t>
  </si>
  <si>
    <t xml:space="preserve"> Recurrence of non-conformities, continuous improvement, cost of quality</t>
  </si>
  <si>
    <t xml:space="preserve"> History of non-conformities, batches, shifts, machines, raw materials</t>
  </si>
  <si>
    <t xml:space="preserve"> Human validation; integration with existing quality system.</t>
  </si>
  <si>
    <t xml:space="preserve"> DEMAND MODELING — Planning and Supply</t>
  </si>
  <si>
    <t xml:space="preserve"> Multi-horizon demand forecast</t>
  </si>
  <si>
    <t xml:space="preserve"> Predicts demand in short (weekly), medium (monthly) and long (annual) horizons by SKU, customer or channel, incorporating events (promotions, seasonality, external factors).</t>
  </si>
  <si>
    <t xml:space="preserve"> Classical ML (gradient boosting, time series)</t>
  </si>
  <si>
    <t xml:space="preserve">Forecast error (MAPE), service level, inventory cost</t>
  </si>
  <si>
    <t xml:space="preserve"> Sales/order history, promotions calendar, relevant external data</t>
  </si>
  <si>
    <t xml:space="preserve"> Quick Win</t>
  </si>
  <si>
    <t xml:space="preserve"> Biases due to atypical shocks; retraining in the face of portfolio changes.</t>
  </si>
  <si>
    <t xml:space="preserve"> Production plan optimization (integrated S&amp;OP)</t>
  </si>
  <si>
    <t xml:space="preserve"> Build the optimal production plan by reconciling forecasted demand, available capacity, line constraints, scheduled maintenance, and raw material availability.</t>
  </si>
  <si>
    <t xml:space="preserve"> Optimization + ML</t>
  </si>
  <si>
    <t xml:space="preserve"> Plan compliance, target OEE, production changeover costs</t>
  </si>
  <si>
    <t xml:space="preserve"> Demand forecasting, line capacity, maintenance plans, MRP</t>
  </si>
  <si>
    <t xml:space="preserve"> Planner acceptance; explainability of decisions; exception handling.</t>
  </si>
  <si>
    <t xml:space="preserve"> Inventory optimization and integrated MRP</t>
  </si>
  <si>
    <t xml:space="preserve"> Calculates reorder points, safety stock levels, and optimized replenishment plans by SKU, connecting forecasted demand with replenishment times.</t>
  </si>
  <si>
    <t xml:space="preserve"> ML + Optimization</t>
  </si>
  <si>
    <t xml:space="preserve">Inventory days, fill rate, cost of stockouts, tied-up capital</t>
  </si>
  <si>
    <t xml:space="preserve"> Inventory history, actual lead times per supplier, costs</t>
  </si>
  <si>
    <t xml:space="preserve"> ERP integration; change management; lead time quality.</t>
  </si>
  <si>
    <t xml:space="preserve"> PEOPLE ON THE PLANT — Onboarding, co-pilot and knowledge</t>
  </si>
  <si>
    <t xml:space="preserve"> Comprehensive platform for people on the plant</t>
  </si>
  <si>
    <t xml:space="preserve"> A unique solution that integrates: (1) assisted onboarding for new operators with procedure simulation and adaptive training, (2) co-pilot for the operator on duty with answers to technical questions in natural language about machines, recipes and procedures, and (3) a self-maintained knowledge base that captures learnings from each shift and returns them to the team.</t>
  </si>
  <si>
    <t xml:space="preserve"> GenAI / RAG + ML</t>
  </si>
  <si>
    <t xml:space="preserve"> Learning curve time (time-to-proficiency), operational errors, talent retention, FCR of technical queries</t>
  </si>
  <si>
    <t xml:space="preserve"> Manuals, procedures, recipes, shift logs, shift change transcripts, history of resolved failures</t>
  </si>
  <si>
    <t xml:space="preserve">Operator data privacy; traceability; bias towards legacy procedures; human validation of critical information.</t>
  </si>
  <si>
    <t xml:space="preserve"> SUMMARY OF SELECTIONS</t>
  </si>
  <si>
    <t xml:space="preserve"> Cases marked "Yes":</t>
  </si>
  <si>
    <t xml:space="preserve"> Cases marked "Maybe":</t>
  </si>
  <si>
    <t xml:space="preserve"> Total candidates (Yes + Maybe):</t>
  </si>
  <si>
    <t xml:space="preserve"> Self-assessment questionnaire · Plant Operations</t>
  </si>
  <si>
    <t xml:space="preserve"> 16 questions in 4 blocks. Scale 1-5. Automatically calculates Pain × Readiness and issues a recommendation.</t>
  </si>
  <si>
    <t xml:space="preserve"> Scale:</t>
  </si>
  <si>
    <t xml:space="preserve"> 1 = does not exist / very low · 2 = low · 3 = medium · 4 = high · 5 = systematic / very high</t>
  </si>
  <si>
    <t xml:space="preserve"> Ask</t>
  </si>
  <si>
    <t xml:space="preserve"> Score (1-5)</t>
  </si>
  <si>
    <t xml:space="preserve"> BLOCK A — Plant operating pain</t>
  </si>
  <si>
    <t xml:space="preserve"> A1</t>
  </si>
  <si>
    <t xml:space="preserve"> The volume of unplanned (corrective) downtime on critical machines that we experience is:</t>
  </si>
  <si>
    <t xml:space="preserve"> A2</t>
  </si>
  <si>
    <t xml:space="preserve"> The rate of non-conformities, scrap, or rework we have today is:</t>
  </si>
  <si>
    <t xml:space="preserve"> A3</t>
  </si>
  <si>
    <t xml:space="preserve"> The demand forecasting error and the difficulty in production planning is:</t>
  </si>
  <si>
    <t xml:space="preserve"> A4</t>
  </si>
  <si>
    <t xml:space="preserve">The turnover/learning curve of operators and dependence on expert operators is:</t>
  </si>
  <si>
    <t xml:space="preserve"> BLOCK B — Operational Data Readiness</t>
  </si>
  <si>
    <t xml:space="preserve"> B1</t>
  </si>
  <si>
    <t xml:space="preserve"> Critical machines have basic sensors (vibration, temperature, current, pressure):</t>
  </si>
  <si>
    <t xml:space="preserve"> B2</t>
  </si>
  <si>
    <t xml:space="preserve"> We have a digital history of at least 12 months of operation, quality, and maintenance:</t>
  </si>
  <si>
    <t xml:space="preserve"> B3</t>
  </si>
  <si>
    <t xml:space="preserve"> Recipes, procedures, and shift records are digitized and accessible:</t>
  </si>
  <si>
    <t xml:space="preserve"> B4</t>
  </si>
  <si>
    <t xml:space="preserve"> Is there any connection/data reading between PLCs/SCADA and IT systems?</t>
  </si>
  <si>
    <t xml:space="preserve"> BLOCK C — Plant Equipment Readiness</t>
  </si>
  <si>
    <t xml:space="preserve"> C1</t>
  </si>
  <si>
    <t xml:space="preserve"> The Plant Manager / Operations Director is open to incorporating AI and sponsors:</t>
  </si>
  <si>
    <t xml:space="preserve"> C2</t>
  </si>
  <si>
    <t xml:space="preserve"> There are champions of digital transformation in maintenance, quality, or planning:</t>
  </si>
  <si>
    <t xml:space="preserve"> C3</t>
  </si>
  <si>
    <t xml:space="preserve"> The team has a culture of continuous improvement / lean / TPM in operation:</t>
  </si>
  <si>
    <t xml:space="preserve"> C4</t>
  </si>
  <si>
    <t xml:space="preserve"> Operators are open to using new tools (tablets, apps, sensors):</t>
  </si>
  <si>
    <t xml:space="preserve">BLOCK D — Strategic Alignment</t>
  </si>
  <si>
    <t xml:space="preserve"> D1</t>
  </si>
  <si>
    <t xml:space="preserve"> We have explicit goals for OEE, scrap, productivity, or reduction of operating costs:</t>
  </si>
  <si>
    <t xml:space="preserve"> D2</t>
  </si>
  <si>
    <t xml:space="preserve"> There is a reasonable budget for Industry 4.0 / AI in the plant in the next 12 months:</t>
  </si>
  <si>
    <t xml:space="preserve"> D3</t>
  </si>
  <si>
    <t xml:space="preserve"> There is general management/steering committee support for smart plant initiatives:</t>
  </si>
  <si>
    <t xml:space="preserve"> D4</t>
  </si>
  <si>
    <t xml:space="preserve"> There is a clear business case for impact on operating costs or productivity:</t>
  </si>
  <si>
    <t xml:space="preserve"> RESULTS</t>
  </si>
  <si>
    <t xml:space="preserve"> Pain score (Block A):</t>
  </si>
  <si>
    <t xml:space="preserve"> Readiness score (Blocks B + C + D):</t>
  </si>
  <si>
    <t xml:space="preserve"> RECOMMENDATION:</t>
  </si>
  <si>
    <t xml:space="preserve"> 2×2 Matrix — Pain × Readiness</t>
  </si>
  <si>
    <t xml:space="preserve"> Readiness LOW (&lt; 3.5)</t>
  </si>
  <si>
    <t xml:space="preserve"> Readiness HIGH (≥ 3.5)</t>
  </si>
  <si>
    <t xml:space="preserve"> High Pain (≥ 3.5)</t>
  </si>
  <si>
    <t xml:space="preserve"> Invest in enablers first</t>
  </si>
  <si>
    <t xml:space="preserve"> PRIORITY QUICK WIN</t>
  </si>
  <si>
    <t xml:space="preserve"> LOW Pain (&lt; 3.5)</t>
  </si>
  <si>
    <t xml:space="preserve"> It's not time yet.</t>
  </si>
  <si>
    <t xml:space="preserve"> Opportunity without urgency</t>
  </si>
  <si>
    <t xml:space="preserve"> Opportunity Canvas · Plant Operations</t>
  </si>
  <si>
    <t xml:space="preserve"> Document a specific opportunity. Replace the italicized text. Output ready for Module 2.</t>
  </si>
  <si>
    <t xml:space="preserve"> 1. Case Name</t>
  </si>
  <si>
    <t xml:space="preserve">Prompt: ≤ 8 words</t>
  </si>
  <si>
    <t xml:space="preserve"> e.g. Comprehensive line 2 maintenance app</t>
  </si>
  <si>
    <t xml:space="preserve"> 2. Specific pain point</t>
  </si>
  <si>
    <t xml:space="preserve"> Prompt: Today at the plant we suffered X when Y</t>
  </si>
  <si>
    <t xml:space="preserve"> For example, today line 2 suffers 3-4 unplanned stoppages per month in the packaging plant, with MTTR of 4-6 hours and an opportunity cost of ~USD 12,000/month.</t>
  </si>
  <si>
    <t xml:space="preserve"> 3. Frequency and volume</t>
  </si>
  <si>
    <t xml:space="preserve"> Prompt: How many times does this happen per month and what assets does it affect?</t>
  </si>
  <si>
    <t xml:space="preserve"> E.g. ~3.5 stoppages/month in the packaging plant; 8 operators and 2 maintenance workers affected; impact on 4 main SKUs.</t>
  </si>
  <si>
    <t xml:space="preserve"> 4. Estimated cost of pain</t>
  </si>
  <si>
    <t xml:space="preserve"> Prompt: USD/month in direct cost + opportunity + scrap</t>
  </si>
  <si>
    <t xml:space="preserve"> E.g. USD 12,000/month in opportunity cost + USD 3,000 in extra maintenance hours + USD 1,500 in scrap = USD 16,500/month.</t>
  </si>
  <si>
    <t xml:space="preserve"> 5. Primary KPI to move</t>
  </si>
  <si>
    <t xml:space="preserve"> Prompt: Specific indicator and direction</t>
  </si>
  <si>
    <t xml:space="preserve"> E.g. MTBF (from 80h to 200h), MTTR (from 5h to 2h), line OEE (from 68% to 80%).</t>
  </si>
  <si>
    <t xml:space="preserve"> 6. Expected magnitude of change</t>
  </si>
  <si>
    <t xml:space="preserve"> Prompt: From X to Y, on what horizon</t>
  </si>
  <si>
    <t xml:space="preserve">E.g. Reduce unemployment by 60% in 6 months; save USD 10,000/month from month 4; recover investment in 9 months.</t>
  </si>
  <si>
    <t xml:space="preserve"> 7. Available data + sensorization</t>
  </si>
  <si>
    <t xml:space="preserve"> Prompt: Sensors, systems, quality, gaps</t>
  </si>
  <si>
    <t xml:space="preserve"> E.g. PLC in packaging machine with speed, stop and alarm data (without structured history); manuals and procedures partially digitized; without vibration sensors (to be installed).</t>
  </si>
  <si>
    <t xml:space="preserve"> 8. Hypothetical AI Family</t>
  </si>
  <si>
    <t xml:space="preserve"> Prompt: Rules / Classical ML / GenAI / Hybrid (Module 4)</t>
  </si>
  <si>
    <t xml:space="preserve"> E.g. Classical ML for failure prediction + GenAI/RAG for guide to the maintainer in mobile app + rules for escalation.</t>
  </si>
  <si>
    <t xml:space="preserve"> 9. Visible risks</t>
  </si>
  <si>
    <t xml:space="preserve"> Prompt: Technical, operational, adoption</t>
  </si>
  <si>
    <t xml:space="preserve"> E.g. Limited quality of historical data (first model will be weak); initial resistance from maintainers; dependence on the packaging supplier for extra data.</t>
  </si>
  <si>
    <t xml:space="preserve"> 10. Case Sponsor</t>
  </si>
  <si>
    <t xml:space="preserve"> Prompt: Sponsor's Name and Role</t>
  </si>
  <si>
    <t xml:space="preserve">e.g. Maintenance Manager (Carlos Pérez), with the support of the Plant Manager.</t>
  </si>
  <si>
    <t xml:space="preserve"> OUTPUT — Case Summary for Module 2</t>
  </si>
  <si>
    <t xml:space="preserve"> When you complete the 10 fields, copy the content into the opportunity template in Module 2. Before doing so, check in the Enablers tab that your plant has the minimum sensorization required for the case.</t>
  </si>
  <si>
    <t xml:space="preserve"> Pre-AI enablers · Operational readiness diagnostics</t>
  </si>
  <si>
    <t xml:space="preserve"> Before considering AI, your plant needs certain minimum capabilities. Mark the current status of each enabler. The sheet calculates your readiness level and provides a recommendation.</t>
  </si>
  <si>
    <t xml:space="preserve"> Enabler</t>
  </si>
  <si>
    <t xml:space="preserve"> State</t>
  </si>
  <si>
    <t xml:space="preserve"> Comment</t>
  </si>
  <si>
    <t xml:space="preserve"> A. MINIMUM SENSORIZATION</t>
  </si>
  <si>
    <t xml:space="preserve"> Critical machines have basic sensors (vibration, temperature, current, pressure)</t>
  </si>
  <si>
    <t xml:space="preserve"> The sensors are connected to an acquisition system (they are not manually read)</t>
  </si>
  <si>
    <t xml:space="preserve"> We have an operational history of at least 12 months with a reasonable sampling frequency.</t>
  </si>
  <si>
    <t xml:space="preserve"> B. CONNECTIVITY AND MANAGEMENT SYSTEMS</t>
  </si>
  <si>
    <t xml:space="preserve">We have a MES or equivalent system that records OEE, downtime, and production</t>
  </si>
  <si>
    <t xml:space="preserve"> The stops are automatically categorized (not on paper or loose Excel spreadsheets)</t>
  </si>
  <si>
    <t xml:space="preserve"> There is integration/reading between PLCs/SCADA and IT systems (at least unidirectional)</t>
  </si>
  <si>
    <t xml:space="preserve"> C. DATA QUALITY</t>
  </si>
  <si>
    <t xml:space="preserve"> Recipes, procedures, and SOPs are digitized and up-to-date.</t>
  </si>
  <si>
    <t xml:space="preserve"> Quality records (non-conformities, scrap) are captured digitally</t>
  </si>
  <si>
    <t xml:space="preserve"> There is a standard taxonomy of failures, stoppages, and defects</t>
  </si>
  <si>
    <t xml:space="preserve"> The quality history is traceable to batch, shift, and machine</t>
  </si>
  <si>
    <t xml:space="preserve"> D. TRANSACTIONAL SYSTEMS</t>
  </si>
  <si>
    <t xml:space="preserve"> We have ERP/MRP that connects with production.</t>
  </si>
  <si>
    <t xml:space="preserve"> Orders and forecasts are managed in a system (not just in Excel)</t>
  </si>
  <si>
    <t xml:space="preserve"> Inventory traceability is digital (not by manual spreadsheet)</t>
  </si>
  <si>
    <t xml:space="preserve"> E. CULTURE AND TEAM</t>
  </si>
  <si>
    <t xml:space="preserve"> The operator captures data in the system (tablet / kiosk / app), not just on paper</t>
  </si>
  <si>
    <t xml:space="preserve"> There is an identified continuous improvement / lean / TPM manager</t>
  </si>
  <si>
    <t xml:space="preserve">The team has gone through digitization projects with reasonable results.</t>
  </si>
  <si>
    <t xml:space="preserve"> READINESS SUMMARY AND SCORE</t>
  </si>
  <si>
    <t xml:space="preserve"> Enablers marked "Yes":</t>
  </si>
  <si>
    <t xml:space="preserve"> Partial exams:</t>
  </si>
  <si>
    <t xml:space="preserve"> We do not have:</t>
  </si>
  <si>
    <t xml:space="preserve"> Not applicable:</t>
  </si>
  <si>
    <t xml:space="preserve"> OPERATIONAL READINESS SCORE:</t>
  </si>
</sst>
</file>

<file path=xl/styles.xml><?xml version="1.0" encoding="utf-8"?>
<styleSheet xmlns="http://schemas.openxmlformats.org/spreadsheetml/2006/main">
  <numFmts count="3">
    <numFmt numFmtId="164" formatCode="General"/>
    <numFmt numFmtId="165" formatCode="0.00"/>
    <numFmt numFmtId="166" formatCode="0.0%"/>
  </numFmts>
  <fonts count="36">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1"/>
      <color rgb="FF6B7280"/>
      <name val="Arial"/>
      <family val="0"/>
      <charset val="1"/>
    </font>
    <font>
      <b val="true"/>
      <sz val="11"/>
      <color rgb="FF1F3A5F"/>
      <name val="Arial"/>
      <family val="0"/>
      <charset val="1"/>
    </font>
    <font>
      <b val="true"/>
      <sz val="12"/>
      <color rgb="FFFFFFFF"/>
      <name val="Arial"/>
      <family val="0"/>
      <charset val="1"/>
    </font>
    <font>
      <sz val="10"/>
      <color rgb="FF2D2D2D"/>
      <name val="Arial"/>
      <family val="0"/>
      <charset val="1"/>
    </font>
    <font>
      <b val="true"/>
      <sz val="10"/>
      <color rgb="FF2D2D2D"/>
      <name val="Arial"/>
      <family val="0"/>
      <charset val="1"/>
    </font>
    <font>
      <b val="true"/>
      <sz val="11"/>
      <color rgb="FF2D2D2D"/>
      <name val="Arial"/>
      <family val="0"/>
      <charset val="1"/>
    </font>
    <font>
      <b val="true"/>
      <sz val="11"/>
      <color rgb="FF0000FF"/>
      <name val="Arial"/>
      <family val="0"/>
      <charset val="1"/>
    </font>
    <font>
      <sz val="10"/>
      <color rgb="FF0000FF"/>
      <name val="Arial"/>
      <family val="0"/>
      <charset val="1"/>
    </font>
    <font>
      <b val="true"/>
      <sz val="12"/>
      <color rgb="FF1F3A5F"/>
      <name val="Arial"/>
      <family val="0"/>
      <charset val="1"/>
    </font>
    <font>
      <b val="true"/>
      <sz val="14"/>
      <color rgb="FF2E7D32"/>
      <name val="Arial"/>
      <family val="0"/>
      <charset val="1"/>
    </font>
    <font>
      <b val="true"/>
      <sz val="14"/>
      <color rgb="FFB7791F"/>
      <name val="Arial"/>
      <family val="0"/>
      <charset val="1"/>
    </font>
    <font>
      <b val="true"/>
      <sz val="14"/>
      <color rgb="FF1F3A5F"/>
      <name val="Arial"/>
      <family val="0"/>
      <charset val="1"/>
    </font>
    <font>
      <i val="true"/>
      <sz val="10"/>
      <color rgb="FF2D2D2D"/>
      <name val="Arial"/>
      <family val="0"/>
      <charset val="1"/>
    </font>
    <font>
      <b val="true"/>
      <sz val="12"/>
      <color rgb="FFB91C1C"/>
      <name val="Arial"/>
      <family val="0"/>
      <charset val="1"/>
    </font>
    <font>
      <b val="true"/>
      <sz val="11"/>
      <color rgb="FFB91C1C"/>
      <name val="Arial"/>
      <family val="0"/>
      <charset val="1"/>
    </font>
    <font>
      <sz val="11"/>
      <color rgb="FF2D2D2D"/>
      <name val="Arial"/>
      <family val="0"/>
      <charset val="1"/>
    </font>
    <font>
      <b val="true"/>
      <sz val="13"/>
      <color rgb="FF0000FF"/>
      <name val="Arial"/>
      <family val="0"/>
      <charset val="1"/>
    </font>
    <font>
      <b val="true"/>
      <sz val="12"/>
      <color rgb="FF2E75B6"/>
      <name val="Arial"/>
      <family val="0"/>
      <charset val="1"/>
    </font>
    <font>
      <b val="true"/>
      <sz val="11"/>
      <color rgb="FF2E75B6"/>
      <name val="Arial"/>
      <family val="0"/>
      <charset val="1"/>
    </font>
    <font>
      <b val="true"/>
      <sz val="13"/>
      <color rgb="FF1F3A5F"/>
      <name val="Arial"/>
      <family val="0"/>
      <charset val="1"/>
    </font>
    <font>
      <b val="true"/>
      <sz val="12"/>
      <color rgb="FF2D2D2D"/>
      <name val="Arial"/>
      <family val="0"/>
      <charset val="1"/>
    </font>
    <font>
      <b val="true"/>
      <sz val="16"/>
      <color rgb="FFB91C1C"/>
      <name val="Arial"/>
      <family val="0"/>
      <charset val="1"/>
    </font>
    <font>
      <b val="true"/>
      <sz val="16"/>
      <color rgb="FF2E7D32"/>
      <name val="Arial"/>
      <family val="0"/>
      <charset val="1"/>
    </font>
    <font>
      <b val="true"/>
      <sz val="11"/>
      <color rgb="FFB7791F"/>
      <name val="Arial"/>
      <family val="0"/>
      <charset val="1"/>
    </font>
    <font>
      <b val="true"/>
      <sz val="11"/>
      <color rgb="FF2E7D32"/>
      <name val="Arial"/>
      <family val="0"/>
      <charset val="1"/>
    </font>
    <font>
      <i val="true"/>
      <sz val="10"/>
      <color rgb="FF6B7280"/>
      <name val="Arial"/>
      <family val="0"/>
      <charset val="1"/>
    </font>
    <font>
      <i val="true"/>
      <sz val="11"/>
      <color rgb="FF2D2D2D"/>
      <name val="Arial"/>
      <family val="0"/>
      <charset val="1"/>
    </font>
    <font>
      <b val="true"/>
      <sz val="13"/>
      <color rgb="FF2E7D32"/>
      <name val="Arial"/>
      <family val="0"/>
      <charset val="1"/>
    </font>
    <font>
      <b val="true"/>
      <sz val="13"/>
      <color rgb="FFB7791F"/>
      <name val="Arial"/>
      <family val="0"/>
      <charset val="1"/>
    </font>
    <font>
      <b val="true"/>
      <sz val="13"/>
      <color rgb="FFB91C1C"/>
      <name val="Arial"/>
      <family val="0"/>
      <charset val="1"/>
    </font>
    <font>
      <sz val="13"/>
      <color rgb="FF6B7280"/>
      <name val="Arial"/>
      <family val="0"/>
      <charset val="1"/>
    </font>
  </fonts>
  <fills count="10">
    <fill>
      <patternFill patternType="none"/>
    </fill>
    <fill>
      <patternFill patternType="gray125"/>
    </fill>
    <fill>
      <patternFill patternType="solid">
        <fgColor rgb="FFE8EEF4"/>
        <bgColor rgb="FFE8F4E8"/>
      </patternFill>
    </fill>
    <fill>
      <patternFill patternType="solid">
        <fgColor rgb="FF1F3A5F"/>
        <bgColor rgb="FF2D2D2D"/>
      </patternFill>
    </fill>
    <fill>
      <patternFill patternType="solid">
        <fgColor rgb="FFFFF8DC"/>
        <bgColor rgb="FFFFF4D6"/>
      </patternFill>
    </fill>
    <fill>
      <patternFill patternType="solid">
        <fgColor rgb="FFE8F4E8"/>
        <bgColor rgb="FFE8EEF4"/>
      </patternFill>
    </fill>
    <fill>
      <patternFill patternType="solid">
        <fgColor rgb="FFFDE7E9"/>
        <bgColor rgb="FFFFF4D6"/>
      </patternFill>
    </fill>
    <fill>
      <patternFill patternType="solid">
        <fgColor rgb="FFDCEEDC"/>
        <bgColor rgb="FFE8F4E8"/>
      </patternFill>
    </fill>
    <fill>
      <patternFill patternType="solid">
        <fgColor rgb="FFFFF4D6"/>
        <bgColor rgb="FFFFF8DC"/>
      </patternFill>
    </fill>
    <fill>
      <patternFill patternType="solid">
        <fgColor rgb="FFF7F9FB"/>
        <bgColor rgb="FFFFFFFF"/>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1F3A5F"/>
      </left>
      <right/>
      <top style="thin">
        <color rgb="FF1F3A5F"/>
      </top>
      <bottom style="thin">
        <color rgb="FF1F3A5F"/>
      </bottom>
      <diagonal/>
    </border>
    <border diagonalUp="false" diagonalDown="false">
      <left style="thin">
        <color rgb="FF1F3A5F"/>
      </left>
      <right style="thin">
        <color rgb="FF1F3A5F"/>
      </right>
      <top style="thin">
        <color rgb="FF1F3A5F"/>
      </top>
      <bottom style="thin">
        <color rgb="FF1F3A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6" borderId="0"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5" fontId="26"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5" fontId="27" fillId="7"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28" fillId="8" borderId="1" xfId="0" applyFont="true" applyBorder="true" applyAlignment="true" applyProtection="false">
      <alignment horizontal="center"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13" fillId="2" borderId="3" xfId="0" applyFont="true" applyBorder="true" applyAlignment="true" applyProtection="false">
      <alignment horizontal="left" vertical="center" textRotation="0" wrapText="tru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31"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6" fontId="4"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CCCCC"/>
      <rgbColor rgb="FF808080"/>
      <rgbColor rgb="FF9999FF"/>
      <rgbColor rgb="FF993366"/>
      <rgbColor rgb="FFFFF8DC"/>
      <rgbColor rgb="FFE8F4E8"/>
      <rgbColor rgb="FF660066"/>
      <rgbColor rgb="FFFF8080"/>
      <rgbColor rgb="FF0066CC"/>
      <rgbColor rgb="FFF7F9FB"/>
      <rgbColor rgb="FF000080"/>
      <rgbColor rgb="FFFF00FF"/>
      <rgbColor rgb="FFFFFF00"/>
      <rgbColor rgb="FF00FFFF"/>
      <rgbColor rgb="FF800080"/>
      <rgbColor rgb="FF800000"/>
      <rgbColor rgb="FF008080"/>
      <rgbColor rgb="FF0000FF"/>
      <rgbColor rgb="FF00CCFF"/>
      <rgbColor rgb="FFE8EEF4"/>
      <rgbColor rgb="FFDCEEDC"/>
      <rgbColor rgb="FFFFF4D6"/>
      <rgbColor rgb="FF99CCFF"/>
      <rgbColor rgb="FFFF99CC"/>
      <rgbColor rgb="FFCC99FF"/>
      <rgbColor rgb="FFFDE7E9"/>
      <rgbColor rgb="FF2E75B6"/>
      <rgbColor rgb="FF33CCCC"/>
      <rgbColor rgb="FF99CC00"/>
      <rgbColor rgb="FFFFCC00"/>
      <rgbColor rgb="FFFF9900"/>
      <rgbColor rgb="FFFF6600"/>
      <rgbColor rgb="FF6B7280"/>
      <rgbColor rgb="FF969696"/>
      <rgbColor rgb="FF1F3A5F"/>
      <rgbColor rgb="FF2E7D32"/>
      <rgbColor rgb="FF003300"/>
      <rgbColor rgb="FF333300"/>
      <rgbColor rgb="FFB91C1C"/>
      <rgbColor rgb="FF993366"/>
      <rgbColor rgb="FF333399"/>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K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0"/>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7" min="7" style="0" width="12"/>
    <col collapsed="false" customWidth="true" hidden="false" outlineLevel="0" max="8" min="8" style="0" width="11"/>
    <col collapsed="false" customWidth="true" hidden="false" outlineLevel="0" max="9" min="9" style="0" width="28"/>
    <col collapsed="false" customWidth="true" hidden="false" outlineLevel="0" max="10" min="10" style="0" width="14"/>
    <col collapsed="false" customWidth="true" hidden="false" outlineLevel="0" max="11" min="11" style="0" width="24"/>
  </cols>
  <sheetData>
    <row r="1" customFormat="false" ht="27.75" hidden="false" customHeight="tru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5.5" hidden="false" customHeight="true" outlineLevel="0" collapsed="false">
      <c r="A5" s="4" t="s">
        <v>13</v>
      </c>
      <c r="B5" s="4"/>
      <c r="C5" s="4"/>
      <c r="D5" s="4"/>
      <c r="E5" s="4"/>
      <c r="F5" s="4"/>
      <c r="G5" s="4"/>
      <c r="H5" s="4"/>
      <c r="I5" s="4"/>
      <c r="J5" s="4"/>
      <c r="K5" s="4"/>
    </row>
    <row r="6" customFormat="false" ht="79.5" hidden="false" customHeight="true" outlineLevel="0" collapsed="false">
      <c r="A6" s="5" t="n">
        <v>1</v>
      </c>
      <c r="B6" s="6" t="s">
        <v>14</v>
      </c>
      <c r="C6" s="7" t="s">
        <v>15</v>
      </c>
      <c r="D6" s="7" t="s">
        <v>16</v>
      </c>
      <c r="E6" s="7" t="s">
        <v>17</v>
      </c>
      <c r="F6" s="7" t="s">
        <v>18</v>
      </c>
      <c r="G6" s="8" t="s">
        <v>19</v>
      </c>
      <c r="H6" s="9" t="n">
        <v>4</v>
      </c>
      <c r="I6" s="7" t="s">
        <v>20</v>
      </c>
      <c r="J6" s="10"/>
      <c r="K6" s="11"/>
    </row>
    <row r="7" customFormat="false" ht="79.5" hidden="false" customHeight="true" outlineLevel="0" collapsed="false">
      <c r="A7" s="5" t="n">
        <v>2</v>
      </c>
      <c r="B7" s="6" t="s">
        <v>21</v>
      </c>
      <c r="C7" s="7" t="s">
        <v>22</v>
      </c>
      <c r="D7" s="7" t="s">
        <v>23</v>
      </c>
      <c r="E7" s="7" t="s">
        <v>24</v>
      </c>
      <c r="F7" s="7" t="s">
        <v>25</v>
      </c>
      <c r="G7" s="8" t="s">
        <v>19</v>
      </c>
      <c r="H7" s="9" t="n">
        <v>4</v>
      </c>
      <c r="I7" s="7" t="s">
        <v>26</v>
      </c>
      <c r="J7" s="10"/>
      <c r="K7" s="11"/>
    </row>
    <row r="8" customFormat="false" ht="79.5" hidden="false" customHeight="true" outlineLevel="0" collapsed="false">
      <c r="A8" s="5" t="n">
        <v>3</v>
      </c>
      <c r="B8" s="6" t="s">
        <v>27</v>
      </c>
      <c r="C8" s="7" t="s">
        <v>28</v>
      </c>
      <c r="D8" s="7" t="s">
        <v>29</v>
      </c>
      <c r="E8" s="7" t="s">
        <v>30</v>
      </c>
      <c r="F8" s="7" t="s">
        <v>31</v>
      </c>
      <c r="G8" s="8" t="s">
        <v>19</v>
      </c>
      <c r="H8" s="9" t="n">
        <v>3</v>
      </c>
      <c r="I8" s="7" t="s">
        <v>32</v>
      </c>
      <c r="J8" s="10"/>
      <c r="K8" s="11"/>
    </row>
    <row r="9" customFormat="false" ht="25.5" hidden="false" customHeight="true" outlineLevel="0" collapsed="false">
      <c r="A9" s="4" t="s">
        <v>33</v>
      </c>
      <c r="B9" s="4"/>
      <c r="C9" s="4"/>
      <c r="D9" s="4"/>
      <c r="E9" s="4"/>
      <c r="F9" s="4"/>
      <c r="G9" s="4"/>
      <c r="H9" s="4"/>
      <c r="I9" s="4"/>
      <c r="J9" s="4"/>
      <c r="K9" s="4"/>
    </row>
    <row r="10" customFormat="false" ht="79.5" hidden="false" customHeight="true" outlineLevel="0" collapsed="false">
      <c r="A10" s="5" t="n">
        <v>4</v>
      </c>
      <c r="B10" s="6" t="s">
        <v>34</v>
      </c>
      <c r="C10" s="7" t="s">
        <v>35</v>
      </c>
      <c r="D10" s="7" t="s">
        <v>36</v>
      </c>
      <c r="E10" s="7" t="s">
        <v>37</v>
      </c>
      <c r="F10" s="7" t="s">
        <v>38</v>
      </c>
      <c r="G10" s="8" t="s">
        <v>19</v>
      </c>
      <c r="H10" s="9" t="n">
        <v>5</v>
      </c>
      <c r="I10" s="7" t="s">
        <v>39</v>
      </c>
      <c r="J10" s="10"/>
      <c r="K10" s="11"/>
    </row>
    <row r="11" customFormat="false" ht="79.5" hidden="false" customHeight="true" outlineLevel="0" collapsed="false">
      <c r="A11" s="5" t="n">
        <v>5</v>
      </c>
      <c r="B11" s="6" t="s">
        <v>40</v>
      </c>
      <c r="C11" s="7" t="s">
        <v>41</v>
      </c>
      <c r="D11" s="7" t="s">
        <v>23</v>
      </c>
      <c r="E11" s="7" t="s">
        <v>42</v>
      </c>
      <c r="F11" s="7" t="s">
        <v>43</v>
      </c>
      <c r="G11" s="8" t="s">
        <v>19</v>
      </c>
      <c r="H11" s="9" t="n">
        <v>4</v>
      </c>
      <c r="I11" s="7" t="s">
        <v>44</v>
      </c>
      <c r="J11" s="10"/>
      <c r="K11" s="11"/>
    </row>
    <row r="12" customFormat="false" ht="79.5" hidden="false" customHeight="true" outlineLevel="0" collapsed="false">
      <c r="A12" s="5" t="n">
        <v>6</v>
      </c>
      <c r="B12" s="6" t="s">
        <v>45</v>
      </c>
      <c r="C12" s="7" t="s">
        <v>46</v>
      </c>
      <c r="D12" s="7" t="s">
        <v>29</v>
      </c>
      <c r="E12" s="7" t="s">
        <v>47</v>
      </c>
      <c r="F12" s="7" t="s">
        <v>48</v>
      </c>
      <c r="G12" s="8" t="s">
        <v>19</v>
      </c>
      <c r="H12" s="9" t="n">
        <v>3</v>
      </c>
      <c r="I12" s="7" t="s">
        <v>49</v>
      </c>
      <c r="J12" s="10"/>
      <c r="K12" s="11"/>
    </row>
    <row r="13" customFormat="false" ht="25.5" hidden="false" customHeight="true" outlineLevel="0" collapsed="false">
      <c r="A13" s="4" t="s">
        <v>50</v>
      </c>
      <c r="B13" s="4"/>
      <c r="C13" s="4"/>
      <c r="D13" s="4"/>
      <c r="E13" s="4"/>
      <c r="F13" s="4"/>
      <c r="G13" s="4"/>
      <c r="H13" s="4"/>
      <c r="I13" s="4"/>
      <c r="J13" s="4"/>
      <c r="K13" s="4"/>
    </row>
    <row r="14" customFormat="false" ht="79.5" hidden="false" customHeight="true" outlineLevel="0" collapsed="false">
      <c r="A14" s="5" t="n">
        <v>7</v>
      </c>
      <c r="B14" s="6" t="s">
        <v>51</v>
      </c>
      <c r="C14" s="7" t="s">
        <v>52</v>
      </c>
      <c r="D14" s="7" t="s">
        <v>53</v>
      </c>
      <c r="E14" s="7" t="s">
        <v>54</v>
      </c>
      <c r="F14" s="7" t="s">
        <v>55</v>
      </c>
      <c r="G14" s="8" t="s">
        <v>56</v>
      </c>
      <c r="H14" s="9" t="n">
        <v>5</v>
      </c>
      <c r="I14" s="7" t="s">
        <v>57</v>
      </c>
      <c r="J14" s="10"/>
      <c r="K14" s="11"/>
    </row>
    <row r="15" customFormat="false" ht="79.5" hidden="false" customHeight="true" outlineLevel="0" collapsed="false">
      <c r="A15" s="5" t="n">
        <v>8</v>
      </c>
      <c r="B15" s="6" t="s">
        <v>58</v>
      </c>
      <c r="C15" s="7" t="s">
        <v>59</v>
      </c>
      <c r="D15" s="7" t="s">
        <v>60</v>
      </c>
      <c r="E15" s="7" t="s">
        <v>61</v>
      </c>
      <c r="F15" s="7" t="s">
        <v>62</v>
      </c>
      <c r="G15" s="8" t="s">
        <v>19</v>
      </c>
      <c r="H15" s="9" t="n">
        <v>4</v>
      </c>
      <c r="I15" s="7" t="s">
        <v>63</v>
      </c>
      <c r="J15" s="10"/>
      <c r="K15" s="11"/>
    </row>
    <row r="16" customFormat="false" ht="79.5" hidden="false" customHeight="true" outlineLevel="0" collapsed="false">
      <c r="A16" s="5" t="n">
        <v>9</v>
      </c>
      <c r="B16" s="6" t="s">
        <v>64</v>
      </c>
      <c r="C16" s="7" t="s">
        <v>65</v>
      </c>
      <c r="D16" s="7" t="s">
        <v>66</v>
      </c>
      <c r="E16" s="7" t="s">
        <v>67</v>
      </c>
      <c r="F16" s="7" t="s">
        <v>68</v>
      </c>
      <c r="G16" s="8" t="s">
        <v>19</v>
      </c>
      <c r="H16" s="9" t="n">
        <v>4</v>
      </c>
      <c r="I16" s="7" t="s">
        <v>69</v>
      </c>
      <c r="J16" s="10"/>
      <c r="K16" s="11"/>
    </row>
    <row r="17" customFormat="false" ht="25.5" hidden="false" customHeight="true" outlineLevel="0" collapsed="false">
      <c r="A17" s="4" t="s">
        <v>70</v>
      </c>
      <c r="B17" s="4"/>
      <c r="C17" s="4"/>
      <c r="D17" s="4"/>
      <c r="E17" s="4"/>
      <c r="F17" s="4"/>
      <c r="G17" s="4"/>
      <c r="H17" s="4"/>
      <c r="I17" s="4"/>
      <c r="J17" s="4"/>
      <c r="K17" s="4"/>
    </row>
    <row r="18" customFormat="false" ht="79.5" hidden="false" customHeight="true" outlineLevel="0" collapsed="false">
      <c r="A18" s="5" t="n">
        <v>10</v>
      </c>
      <c r="B18" s="6" t="s">
        <v>71</v>
      </c>
      <c r="C18" s="7" t="s">
        <v>72</v>
      </c>
      <c r="D18" s="7" t="s">
        <v>73</v>
      </c>
      <c r="E18" s="7" t="s">
        <v>74</v>
      </c>
      <c r="F18" s="7" t="s">
        <v>75</v>
      </c>
      <c r="G18" s="8" t="s">
        <v>19</v>
      </c>
      <c r="H18" s="9" t="n">
        <v>4</v>
      </c>
      <c r="I18" s="7" t="s">
        <v>76</v>
      </c>
      <c r="J18" s="10"/>
      <c r="K18" s="11"/>
    </row>
    <row r="20" customFormat="false" ht="15" hidden="false" customHeight="false" outlineLevel="0" collapsed="false">
      <c r="A20" s="12" t="s">
        <v>77</v>
      </c>
      <c r="B20" s="12"/>
      <c r="C20" s="12"/>
      <c r="D20" s="12"/>
    </row>
    <row r="21" customFormat="false" ht="17.35" hidden="false" customHeight="false" outlineLevel="0" collapsed="false">
      <c r="A21" s="13" t="s">
        <v>78</v>
      </c>
      <c r="B21" s="14" t="n">
        <f aca="false">COUNTIF(J5:J18,"Sí")</f>
        <v>0</v>
      </c>
    </row>
    <row r="22" customFormat="false" ht="17.35" hidden="false" customHeight="false" outlineLevel="0" collapsed="false">
      <c r="A22" s="13" t="s">
        <v>79</v>
      </c>
      <c r="B22" s="15" t="n">
        <f aca="false">COUNTIF(J5:J18,"Tal vez")</f>
        <v>0</v>
      </c>
    </row>
    <row r="23" customFormat="false" ht="17.35" hidden="false" customHeight="false" outlineLevel="0" collapsed="false">
      <c r="A23" s="16" t="s">
        <v>80</v>
      </c>
      <c r="B23" s="17" t="n">
        <f aca="false">COUNTIF(J5:J18,"Sí")+COUNTIF(J5:J18,"Tal vez")</f>
        <v>0</v>
      </c>
    </row>
  </sheetData>
  <mergeCells count="7">
    <mergeCell ref="A1:K1"/>
    <mergeCell ref="A2:K2"/>
    <mergeCell ref="A5:K5"/>
    <mergeCell ref="A9:K9"/>
    <mergeCell ref="A13:K13"/>
    <mergeCell ref="A17:K17"/>
    <mergeCell ref="A20:D20"/>
  </mergeCells>
  <dataValidations count="1">
    <dataValidation allowBlank="true" errorStyle="stop" operator="between" showDropDown="false" showErrorMessage="false" showInputMessage="false" sqref="J5:J18" type="list">
      <formula1>"Sí,No,Tal vez"</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24"/>
  </cols>
  <sheetData>
    <row r="1" customFormat="false" ht="27.75" hidden="false" customHeight="true" outlineLevel="0" collapsed="false">
      <c r="A1" s="1" t="s">
        <v>81</v>
      </c>
      <c r="B1" s="1"/>
      <c r="C1" s="1"/>
      <c r="D1" s="1"/>
      <c r="E1" s="1"/>
    </row>
    <row r="2" customFormat="false" ht="15" hidden="false" customHeight="false" outlineLevel="0" collapsed="false">
      <c r="A2" s="2" t="s">
        <v>82</v>
      </c>
      <c r="B2" s="2"/>
      <c r="C2" s="2"/>
      <c r="D2" s="2"/>
      <c r="E2" s="2"/>
    </row>
    <row r="4" customFormat="false" ht="15" hidden="false" customHeight="false" outlineLevel="0" collapsed="false">
      <c r="A4" s="16" t="s">
        <v>83</v>
      </c>
      <c r="B4" s="18" t="s">
        <v>84</v>
      </c>
      <c r="C4" s="18"/>
      <c r="D4" s="18"/>
      <c r="E4" s="18"/>
    </row>
    <row r="6" customFormat="false" ht="15" hidden="false" customHeight="false" outlineLevel="0" collapsed="false">
      <c r="A6" s="3" t="s">
        <v>2</v>
      </c>
      <c r="B6" s="3" t="s">
        <v>85</v>
      </c>
      <c r="C6" s="3" t="s">
        <v>86</v>
      </c>
    </row>
    <row r="8" customFormat="false" ht="15" hidden="false" customHeight="false" outlineLevel="0" collapsed="false">
      <c r="A8" s="19" t="s">
        <v>87</v>
      </c>
      <c r="B8" s="19"/>
      <c r="C8" s="19"/>
    </row>
    <row r="9" customFormat="false" ht="30" hidden="false" customHeight="true" outlineLevel="0" collapsed="false">
      <c r="A9" s="20" t="s">
        <v>88</v>
      </c>
      <c r="B9" s="21" t="s">
        <v>89</v>
      </c>
      <c r="C9" s="22"/>
    </row>
    <row r="10" customFormat="false" ht="30" hidden="false" customHeight="true" outlineLevel="0" collapsed="false">
      <c r="A10" s="20" t="s">
        <v>90</v>
      </c>
      <c r="B10" s="21" t="s">
        <v>91</v>
      </c>
      <c r="C10" s="22"/>
    </row>
    <row r="11" customFormat="false" ht="30" hidden="false" customHeight="true" outlineLevel="0" collapsed="false">
      <c r="A11" s="20" t="s">
        <v>92</v>
      </c>
      <c r="B11" s="21" t="s">
        <v>93</v>
      </c>
      <c r="C11" s="22"/>
    </row>
    <row r="12" customFormat="false" ht="30" hidden="false" customHeight="true" outlineLevel="0" collapsed="false">
      <c r="A12" s="20" t="s">
        <v>94</v>
      </c>
      <c r="B12" s="21" t="s">
        <v>95</v>
      </c>
      <c r="C12" s="22"/>
    </row>
    <row r="14" customFormat="false" ht="15" hidden="false" customHeight="false" outlineLevel="0" collapsed="false">
      <c r="A14" s="23" t="s">
        <v>96</v>
      </c>
      <c r="B14" s="23"/>
      <c r="C14" s="23"/>
    </row>
    <row r="15" customFormat="false" ht="30" hidden="false" customHeight="true" outlineLevel="0" collapsed="false">
      <c r="A15" s="24" t="s">
        <v>97</v>
      </c>
      <c r="B15" s="21" t="s">
        <v>98</v>
      </c>
      <c r="C15" s="22"/>
    </row>
    <row r="16" customFormat="false" ht="30" hidden="false" customHeight="true" outlineLevel="0" collapsed="false">
      <c r="A16" s="24" t="s">
        <v>99</v>
      </c>
      <c r="B16" s="21" t="s">
        <v>100</v>
      </c>
      <c r="C16" s="22"/>
    </row>
    <row r="17" customFormat="false" ht="30" hidden="false" customHeight="true" outlineLevel="0" collapsed="false">
      <c r="A17" s="24" t="s">
        <v>101</v>
      </c>
      <c r="B17" s="21" t="s">
        <v>102</v>
      </c>
      <c r="C17" s="22"/>
    </row>
    <row r="18" customFormat="false" ht="30" hidden="false" customHeight="true" outlineLevel="0" collapsed="false">
      <c r="A18" s="24" t="s">
        <v>103</v>
      </c>
      <c r="B18" s="21" t="s">
        <v>104</v>
      </c>
      <c r="C18" s="22"/>
    </row>
    <row r="20" customFormat="false" ht="15" hidden="false" customHeight="false" outlineLevel="0" collapsed="false">
      <c r="A20" s="23" t="s">
        <v>105</v>
      </c>
      <c r="B20" s="23"/>
      <c r="C20" s="23"/>
    </row>
    <row r="21" customFormat="false" ht="30" hidden="false" customHeight="true" outlineLevel="0" collapsed="false">
      <c r="A21" s="24" t="s">
        <v>106</v>
      </c>
      <c r="B21" s="21" t="s">
        <v>107</v>
      </c>
      <c r="C21" s="22"/>
    </row>
    <row r="22" customFormat="false" ht="30" hidden="false" customHeight="true" outlineLevel="0" collapsed="false">
      <c r="A22" s="24" t="s">
        <v>108</v>
      </c>
      <c r="B22" s="21" t="s">
        <v>109</v>
      </c>
      <c r="C22" s="22"/>
    </row>
    <row r="23" customFormat="false" ht="30" hidden="false" customHeight="true" outlineLevel="0" collapsed="false">
      <c r="A23" s="24" t="s">
        <v>110</v>
      </c>
      <c r="B23" s="21" t="s">
        <v>111</v>
      </c>
      <c r="C23" s="22"/>
    </row>
    <row r="24" customFormat="false" ht="30" hidden="false" customHeight="true" outlineLevel="0" collapsed="false">
      <c r="A24" s="24" t="s">
        <v>112</v>
      </c>
      <c r="B24" s="21" t="s">
        <v>113</v>
      </c>
      <c r="C24" s="22"/>
    </row>
    <row r="26" customFormat="false" ht="15" hidden="false" customHeight="false" outlineLevel="0" collapsed="false">
      <c r="A26" s="23" t="s">
        <v>114</v>
      </c>
      <c r="B26" s="23"/>
      <c r="C26" s="23"/>
    </row>
    <row r="27" customFormat="false" ht="30" hidden="false" customHeight="true" outlineLevel="0" collapsed="false">
      <c r="A27" s="24" t="s">
        <v>115</v>
      </c>
      <c r="B27" s="21" t="s">
        <v>116</v>
      </c>
      <c r="C27" s="22"/>
    </row>
    <row r="28" customFormat="false" ht="30" hidden="false" customHeight="true" outlineLevel="0" collapsed="false">
      <c r="A28" s="24" t="s">
        <v>117</v>
      </c>
      <c r="B28" s="21" t="s">
        <v>118</v>
      </c>
      <c r="C28" s="22"/>
    </row>
    <row r="29" customFormat="false" ht="30" hidden="false" customHeight="true" outlineLevel="0" collapsed="false">
      <c r="A29" s="24" t="s">
        <v>119</v>
      </c>
      <c r="B29" s="21" t="s">
        <v>120</v>
      </c>
      <c r="C29" s="22"/>
    </row>
    <row r="30" customFormat="false" ht="30" hidden="false" customHeight="true" outlineLevel="0" collapsed="false">
      <c r="A30" s="24" t="s">
        <v>121</v>
      </c>
      <c r="B30" s="21" t="s">
        <v>122</v>
      </c>
      <c r="C30" s="22"/>
    </row>
    <row r="33" customFormat="false" ht="16.15" hidden="false" customHeight="false" outlineLevel="0" collapsed="false">
      <c r="A33" s="25" t="s">
        <v>123</v>
      </c>
      <c r="B33" s="25"/>
      <c r="C33" s="25"/>
    </row>
    <row r="34" customFormat="false" ht="19.7" hidden="false" customHeight="false" outlineLevel="0" collapsed="false">
      <c r="A34" s="26" t="s">
        <v>124</v>
      </c>
      <c r="B34" s="27" t="n">
        <f aca="false">IFERROR(AVERAGE(C9:C12),0)</f>
        <v>0</v>
      </c>
      <c r="C34" s="28" t="str">
        <f aca="false">IF(B34=0,"Sin datos",IF(B34&gt;=3.5,"Pain ALTO",IF(B34&gt;=2.5,"Pain MEDIO","Pain BAJO")))</f>
        <v> No data</v>
      </c>
    </row>
    <row r="35" customFormat="false" ht="19.7" hidden="false" customHeight="false" outlineLevel="0" collapsed="false">
      <c r="A35" s="26" t="s">
        <v>125</v>
      </c>
      <c r="B35" s="29" t="n">
        <f aca="false">IFERROR(AVERAGE(C15:C18,C21:C24,C27:C30),0)</f>
        <v>0</v>
      </c>
      <c r="C35" s="28" t="str">
        <f aca="false">IF(B35=0,"Sin datos",IF(B35&gt;=3.5,"Readiness ALTA",IF(B35&gt;=2.5,"Readiness MEDIA","Readiness BAJA")))</f>
        <v> No data</v>
      </c>
    </row>
    <row r="37" customFormat="false" ht="39.75" hidden="false" customHeight="true" outlineLevel="0" collapsed="false">
      <c r="A37" s="30" t="s">
        <v>126</v>
      </c>
      <c r="B37" s="31" t="str">
        <f aca="false">IF(OR(B34=0,B35=0),"Completa primero el cuestionario",IF(AND(B34&gt;=3.5,B35&gt;=3.5),"QUICK WIN PRIORITARIO — Avanzar ahora",IF(AND(B34&gt;=3.5,B35&lt;3.5),"INVERTIR EN HABILITADORES PRIMERO — Pain alto pero falta readiness (revisa pestaña Habilitadores)",IF(AND(B34&lt;3.5,B35&gt;=3.5),"OPORTUNIDAD SIN URGENCIA — Capacidad sí, pain no","AÚN NO ES MOMENTO — Construir capacidad antes (revisa pestaña Habilitadores)"))))</f>
        <v> First, complete the questionnaire.</v>
      </c>
      <c r="C37" s="31"/>
    </row>
    <row r="40" customFormat="false" ht="16.15" hidden="false" customHeight="false" outlineLevel="0" collapsed="false">
      <c r="A40" s="25" t="s">
        <v>127</v>
      </c>
      <c r="B40" s="25"/>
      <c r="C40" s="25"/>
    </row>
    <row r="41" customFormat="false" ht="15" hidden="false" customHeight="false" outlineLevel="0" collapsed="false">
      <c r="B41" s="3" t="s">
        <v>128</v>
      </c>
      <c r="C41" s="3" t="s">
        <v>129</v>
      </c>
    </row>
    <row r="42" customFormat="false" ht="30" hidden="false" customHeight="true" outlineLevel="0" collapsed="false">
      <c r="A42" s="3" t="s">
        <v>130</v>
      </c>
      <c r="B42" s="32" t="s">
        <v>131</v>
      </c>
      <c r="C42" s="33" t="s">
        <v>132</v>
      </c>
    </row>
    <row r="43" customFormat="false" ht="30" hidden="false" customHeight="true" outlineLevel="0" collapsed="false">
      <c r="A43" s="3" t="s">
        <v>133</v>
      </c>
      <c r="B43" s="34" t="s">
        <v>134</v>
      </c>
      <c r="C43" s="35" t="s">
        <v>135</v>
      </c>
    </row>
  </sheetData>
  <mergeCells count="10">
    <mergeCell ref="A1:E1"/>
    <mergeCell ref="A2:E2"/>
    <mergeCell ref="B4:E4"/>
    <mergeCell ref="A8:C8"/>
    <mergeCell ref="A14:C14"/>
    <mergeCell ref="A20:C20"/>
    <mergeCell ref="A26:C26"/>
    <mergeCell ref="A33:C33"/>
    <mergeCell ref="B37:C37"/>
    <mergeCell ref="A40:C40"/>
  </mergeCells>
  <dataValidations count="1">
    <dataValidation allowBlank="true" error="Ingresa un valor entre 1 y 5" errorStyle="stop" errorTitle="Valor inválido" operator="between" showDropDown="false" showErrorMessage="false" showInputMessage="false" sqref="C9:C12 C15:C18 C21:C24 C27:C3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30"/>
  </cols>
  <sheetData>
    <row r="1" customFormat="false" ht="27.75" hidden="false" customHeight="true" outlineLevel="0" collapsed="false">
      <c r="A1" s="1" t="s">
        <v>136</v>
      </c>
      <c r="B1" s="1"/>
      <c r="C1" s="1"/>
      <c r="D1" s="1"/>
    </row>
    <row r="2" customFormat="false" ht="15" hidden="false" customHeight="false" outlineLevel="0" collapsed="false">
      <c r="A2" s="2" t="s">
        <v>137</v>
      </c>
      <c r="B2" s="2"/>
      <c r="C2" s="2"/>
      <c r="D2" s="2"/>
    </row>
    <row r="4" customFormat="false" ht="15" hidden="false" customHeight="true" outlineLevel="0" collapsed="false">
      <c r="A4" s="36" t="s">
        <v>138</v>
      </c>
      <c r="B4" s="36"/>
      <c r="C4" s="36"/>
      <c r="D4" s="36"/>
    </row>
    <row r="5" customFormat="false" ht="15" hidden="false" customHeight="true" outlineLevel="0" collapsed="false">
      <c r="A5" s="37" t="s">
        <v>139</v>
      </c>
      <c r="B5" s="37"/>
      <c r="C5" s="37"/>
      <c r="D5" s="37"/>
    </row>
    <row r="6" customFormat="false" ht="37.5" hidden="false" customHeight="true" outlineLevel="0" collapsed="false">
      <c r="A6" s="38" t="s">
        <v>140</v>
      </c>
      <c r="B6" s="38"/>
      <c r="C6" s="38"/>
      <c r="D6" s="38"/>
    </row>
    <row r="7" customFormat="false" ht="15" hidden="false" customHeight="true" outlineLevel="0" collapsed="false">
      <c r="A7" s="36" t="s">
        <v>141</v>
      </c>
      <c r="B7" s="36"/>
      <c r="C7" s="36"/>
      <c r="D7" s="36"/>
    </row>
    <row r="8" customFormat="false" ht="15" hidden="false" customHeight="true" outlineLevel="0" collapsed="false">
      <c r="A8" s="37" t="s">
        <v>142</v>
      </c>
      <c r="B8" s="37"/>
      <c r="C8" s="37"/>
      <c r="D8" s="37"/>
    </row>
    <row r="9" customFormat="false" ht="37.5" hidden="false" customHeight="true" outlineLevel="0" collapsed="false">
      <c r="A9" s="38" t="s">
        <v>143</v>
      </c>
      <c r="B9" s="38"/>
      <c r="C9" s="38"/>
      <c r="D9" s="38"/>
    </row>
    <row r="10" customFormat="false" ht="15" hidden="false" customHeight="true" outlineLevel="0" collapsed="false">
      <c r="A10" s="36" t="s">
        <v>144</v>
      </c>
      <c r="B10" s="36"/>
      <c r="C10" s="36"/>
      <c r="D10" s="36"/>
    </row>
    <row r="11" customFormat="false" ht="15" hidden="false" customHeight="true" outlineLevel="0" collapsed="false">
      <c r="A11" s="37" t="s">
        <v>145</v>
      </c>
      <c r="B11" s="37"/>
      <c r="C11" s="37"/>
      <c r="D11" s="37"/>
    </row>
    <row r="12" customFormat="false" ht="37.5" hidden="false" customHeight="true" outlineLevel="0" collapsed="false">
      <c r="A12" s="38" t="s">
        <v>146</v>
      </c>
      <c r="B12" s="38"/>
      <c r="C12" s="38"/>
      <c r="D12" s="38"/>
    </row>
    <row r="13" customFormat="false" ht="15" hidden="false" customHeight="true" outlineLevel="0" collapsed="false">
      <c r="A13" s="36" t="s">
        <v>147</v>
      </c>
      <c r="B13" s="36"/>
      <c r="C13" s="36"/>
      <c r="D13" s="36"/>
    </row>
    <row r="14" customFormat="false" ht="15" hidden="false" customHeight="true" outlineLevel="0" collapsed="false">
      <c r="A14" s="37" t="s">
        <v>148</v>
      </c>
      <c r="B14" s="37"/>
      <c r="C14" s="37"/>
      <c r="D14" s="37"/>
    </row>
    <row r="15" customFormat="false" ht="37.5" hidden="false" customHeight="true" outlineLevel="0" collapsed="false">
      <c r="A15" s="38" t="s">
        <v>149</v>
      </c>
      <c r="B15" s="38"/>
      <c r="C15" s="38"/>
      <c r="D15" s="38"/>
    </row>
    <row r="16" customFormat="false" ht="15" hidden="false" customHeight="true" outlineLevel="0" collapsed="false">
      <c r="A16" s="36" t="s">
        <v>150</v>
      </c>
      <c r="B16" s="36"/>
      <c r="C16" s="36"/>
      <c r="D16" s="36"/>
    </row>
    <row r="17" customFormat="false" ht="15" hidden="false" customHeight="true" outlineLevel="0" collapsed="false">
      <c r="A17" s="37" t="s">
        <v>151</v>
      </c>
      <c r="B17" s="37"/>
      <c r="C17" s="37"/>
      <c r="D17" s="37"/>
    </row>
    <row r="18" customFormat="false" ht="37.5" hidden="false" customHeight="true" outlineLevel="0" collapsed="false">
      <c r="A18" s="38" t="s">
        <v>152</v>
      </c>
      <c r="B18" s="38"/>
      <c r="C18" s="38"/>
      <c r="D18" s="38"/>
    </row>
    <row r="19" customFormat="false" ht="15" hidden="false" customHeight="true" outlineLevel="0" collapsed="false">
      <c r="A19" s="36" t="s">
        <v>153</v>
      </c>
      <c r="B19" s="36"/>
      <c r="C19" s="36"/>
      <c r="D19" s="36"/>
    </row>
    <row r="20" customFormat="false" ht="15" hidden="false" customHeight="true" outlineLevel="0" collapsed="false">
      <c r="A20" s="37" t="s">
        <v>154</v>
      </c>
      <c r="B20" s="37"/>
      <c r="C20" s="37"/>
      <c r="D20" s="37"/>
    </row>
    <row r="21" customFormat="false" ht="37.5" hidden="false" customHeight="true" outlineLevel="0" collapsed="false">
      <c r="A21" s="38" t="s">
        <v>155</v>
      </c>
      <c r="B21" s="38"/>
      <c r="C21" s="38"/>
      <c r="D21" s="38"/>
    </row>
    <row r="22" customFormat="false" ht="15" hidden="false" customHeight="true" outlineLevel="0" collapsed="false">
      <c r="A22" s="36" t="s">
        <v>156</v>
      </c>
      <c r="B22" s="36"/>
      <c r="C22" s="36"/>
      <c r="D22" s="36"/>
    </row>
    <row r="23" customFormat="false" ht="15" hidden="false" customHeight="true" outlineLevel="0" collapsed="false">
      <c r="A23" s="37" t="s">
        <v>157</v>
      </c>
      <c r="B23" s="37"/>
      <c r="C23" s="37"/>
      <c r="D23" s="37"/>
    </row>
    <row r="24" customFormat="false" ht="37.5" hidden="false" customHeight="true" outlineLevel="0" collapsed="false">
      <c r="A24" s="38" t="s">
        <v>158</v>
      </c>
      <c r="B24" s="38"/>
      <c r="C24" s="38"/>
      <c r="D24" s="38"/>
    </row>
    <row r="25" customFormat="false" ht="15" hidden="false" customHeight="true" outlineLevel="0" collapsed="false">
      <c r="A25" s="36" t="s">
        <v>159</v>
      </c>
      <c r="B25" s="36"/>
      <c r="C25" s="36"/>
      <c r="D25" s="36"/>
    </row>
    <row r="26" customFormat="false" ht="15" hidden="false" customHeight="true" outlineLevel="0" collapsed="false">
      <c r="A26" s="37" t="s">
        <v>160</v>
      </c>
      <c r="B26" s="37"/>
      <c r="C26" s="37"/>
      <c r="D26" s="37"/>
    </row>
    <row r="27" customFormat="false" ht="37.5" hidden="false" customHeight="true" outlineLevel="0" collapsed="false">
      <c r="A27" s="38" t="s">
        <v>161</v>
      </c>
      <c r="B27" s="38"/>
      <c r="C27" s="38"/>
      <c r="D27" s="38"/>
    </row>
    <row r="28" customFormat="false" ht="15" hidden="false" customHeight="true" outlineLevel="0" collapsed="false">
      <c r="A28" s="36" t="s">
        <v>162</v>
      </c>
      <c r="B28" s="36"/>
      <c r="C28" s="36"/>
      <c r="D28" s="36"/>
    </row>
    <row r="29" customFormat="false" ht="15" hidden="false" customHeight="true" outlineLevel="0" collapsed="false">
      <c r="A29" s="37" t="s">
        <v>163</v>
      </c>
      <c r="B29" s="37"/>
      <c r="C29" s="37"/>
      <c r="D29" s="37"/>
    </row>
    <row r="30" customFormat="false" ht="37.5" hidden="false" customHeight="true" outlineLevel="0" collapsed="false">
      <c r="A30" s="38" t="s">
        <v>164</v>
      </c>
      <c r="B30" s="38"/>
      <c r="C30" s="38"/>
      <c r="D30" s="38"/>
    </row>
    <row r="31" customFormat="false" ht="15" hidden="false" customHeight="true" outlineLevel="0" collapsed="false">
      <c r="A31" s="36" t="s">
        <v>165</v>
      </c>
      <c r="B31" s="36"/>
      <c r="C31" s="36"/>
      <c r="D31" s="36"/>
    </row>
    <row r="32" customFormat="false" ht="15" hidden="false" customHeight="true" outlineLevel="0" collapsed="false">
      <c r="A32" s="37" t="s">
        <v>166</v>
      </c>
      <c r="B32" s="37"/>
      <c r="C32" s="37"/>
      <c r="D32" s="37"/>
    </row>
    <row r="33" customFormat="false" ht="37.5" hidden="false" customHeight="true" outlineLevel="0" collapsed="false">
      <c r="A33" s="38" t="s">
        <v>167</v>
      </c>
      <c r="B33" s="38"/>
      <c r="C33" s="38"/>
      <c r="D33" s="38"/>
    </row>
    <row r="36" customFormat="false" ht="16.15" hidden="false" customHeight="false" outlineLevel="0" collapsed="false">
      <c r="A36" s="25" t="s">
        <v>168</v>
      </c>
      <c r="B36" s="25"/>
      <c r="C36" s="25"/>
      <c r="D36" s="25"/>
    </row>
    <row r="37" customFormat="false" ht="49.5" hidden="false" customHeight="true" outlineLevel="0" collapsed="false">
      <c r="A37" s="39" t="s">
        <v>169</v>
      </c>
      <c r="B37" s="39"/>
      <c r="C37" s="39"/>
      <c r="D37" s="39"/>
    </row>
  </sheetData>
  <mergeCells count="34">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6:D36"/>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2" min="2" style="0" width="18"/>
    <col collapsed="false" customWidth="true" hidden="false" outlineLevel="0" max="3" min="3" style="0" width="36"/>
  </cols>
  <sheetData>
    <row r="1" customFormat="false" ht="27.75" hidden="false" customHeight="true" outlineLevel="0" collapsed="false">
      <c r="A1" s="1" t="s">
        <v>170</v>
      </c>
      <c r="B1" s="1"/>
      <c r="C1" s="1"/>
      <c r="D1" s="1"/>
    </row>
    <row r="2" customFormat="false" ht="30" hidden="false" customHeight="true" outlineLevel="0" collapsed="false">
      <c r="A2" s="2" t="s">
        <v>171</v>
      </c>
      <c r="B2" s="2"/>
      <c r="C2" s="2"/>
      <c r="D2" s="2"/>
    </row>
    <row r="4" customFormat="false" ht="15" hidden="false" customHeight="false" outlineLevel="0" collapsed="false">
      <c r="A4" s="3" t="s">
        <v>172</v>
      </c>
      <c r="B4" s="3" t="s">
        <v>173</v>
      </c>
      <c r="C4" s="3" t="s">
        <v>174</v>
      </c>
    </row>
    <row r="5" customFormat="false" ht="21.75" hidden="false" customHeight="true" outlineLevel="0" collapsed="false">
      <c r="A5" s="4" t="s">
        <v>175</v>
      </c>
      <c r="B5" s="4"/>
      <c r="C5" s="4"/>
    </row>
    <row r="6" customFormat="false" ht="21.75" hidden="false" customHeight="true" outlineLevel="0" collapsed="false">
      <c r="A6" s="40" t="s">
        <v>176</v>
      </c>
      <c r="B6" s="10"/>
      <c r="C6" s="41"/>
    </row>
    <row r="7" customFormat="false" ht="21.75" hidden="false" customHeight="true" outlineLevel="0" collapsed="false">
      <c r="A7" s="40" t="s">
        <v>177</v>
      </c>
      <c r="B7" s="10"/>
      <c r="C7" s="41"/>
    </row>
    <row r="8" customFormat="false" ht="21.75" hidden="false" customHeight="true" outlineLevel="0" collapsed="false">
      <c r="A8" s="40" t="s">
        <v>178</v>
      </c>
      <c r="B8" s="10"/>
      <c r="C8" s="41"/>
    </row>
    <row r="9" customFormat="false" ht="21.75" hidden="false" customHeight="true" outlineLevel="0" collapsed="false">
      <c r="A9" s="4" t="s">
        <v>179</v>
      </c>
      <c r="B9" s="4"/>
      <c r="C9" s="4"/>
    </row>
    <row r="10" customFormat="false" ht="21.75" hidden="false" customHeight="true" outlineLevel="0" collapsed="false">
      <c r="A10" s="40" t="s">
        <v>180</v>
      </c>
      <c r="B10" s="10"/>
      <c r="C10" s="41"/>
    </row>
    <row r="11" customFormat="false" ht="21.75" hidden="false" customHeight="true" outlineLevel="0" collapsed="false">
      <c r="A11" s="40" t="s">
        <v>181</v>
      </c>
      <c r="B11" s="10"/>
      <c r="C11" s="41"/>
    </row>
    <row r="12" customFormat="false" ht="21.75" hidden="false" customHeight="true" outlineLevel="0" collapsed="false">
      <c r="A12" s="40" t="s">
        <v>182</v>
      </c>
      <c r="B12" s="10"/>
      <c r="C12" s="41"/>
    </row>
    <row r="13" customFormat="false" ht="21.75" hidden="false" customHeight="true" outlineLevel="0" collapsed="false">
      <c r="A13" s="4" t="s">
        <v>183</v>
      </c>
      <c r="B13" s="4"/>
      <c r="C13" s="4"/>
    </row>
    <row r="14" customFormat="false" ht="21.75" hidden="false" customHeight="true" outlineLevel="0" collapsed="false">
      <c r="A14" s="40" t="s">
        <v>184</v>
      </c>
      <c r="B14" s="10"/>
      <c r="C14" s="41"/>
    </row>
    <row r="15" customFormat="false" ht="21.75" hidden="false" customHeight="true" outlineLevel="0" collapsed="false">
      <c r="A15" s="40" t="s">
        <v>185</v>
      </c>
      <c r="B15" s="10"/>
      <c r="C15" s="41"/>
    </row>
    <row r="16" customFormat="false" ht="21.75" hidden="false" customHeight="true" outlineLevel="0" collapsed="false">
      <c r="A16" s="40" t="s">
        <v>186</v>
      </c>
      <c r="B16" s="10"/>
      <c r="C16" s="41"/>
    </row>
    <row r="17" customFormat="false" ht="21.75" hidden="false" customHeight="true" outlineLevel="0" collapsed="false">
      <c r="A17" s="40" t="s">
        <v>187</v>
      </c>
      <c r="B17" s="10"/>
      <c r="C17" s="41"/>
    </row>
    <row r="18" customFormat="false" ht="21.75" hidden="false" customHeight="true" outlineLevel="0" collapsed="false">
      <c r="A18" s="4" t="s">
        <v>188</v>
      </c>
      <c r="B18" s="4"/>
      <c r="C18" s="4"/>
    </row>
    <row r="19" customFormat="false" ht="21.75" hidden="false" customHeight="true" outlineLevel="0" collapsed="false">
      <c r="A19" s="40" t="s">
        <v>189</v>
      </c>
      <c r="B19" s="10"/>
      <c r="C19" s="41"/>
    </row>
    <row r="20" customFormat="false" ht="21.75" hidden="false" customHeight="true" outlineLevel="0" collapsed="false">
      <c r="A20" s="40" t="s">
        <v>190</v>
      </c>
      <c r="B20" s="10"/>
      <c r="C20" s="41"/>
    </row>
    <row r="21" customFormat="false" ht="21.75" hidden="false" customHeight="true" outlineLevel="0" collapsed="false">
      <c r="A21" s="40" t="s">
        <v>191</v>
      </c>
      <c r="B21" s="10"/>
      <c r="C21" s="41"/>
    </row>
    <row r="22" customFormat="false" ht="21.75" hidden="false" customHeight="true" outlineLevel="0" collapsed="false">
      <c r="A22" s="4" t="s">
        <v>192</v>
      </c>
      <c r="B22" s="4"/>
      <c r="C22" s="4"/>
    </row>
    <row r="23" customFormat="false" ht="21.75" hidden="false" customHeight="true" outlineLevel="0" collapsed="false">
      <c r="A23" s="40" t="s">
        <v>193</v>
      </c>
      <c r="B23" s="10"/>
      <c r="C23" s="41"/>
    </row>
    <row r="24" customFormat="false" ht="21.75" hidden="false" customHeight="true" outlineLevel="0" collapsed="false">
      <c r="A24" s="40" t="s">
        <v>194</v>
      </c>
      <c r="B24" s="10"/>
      <c r="C24" s="41"/>
    </row>
    <row r="25" customFormat="false" ht="21.75" hidden="false" customHeight="true" outlineLevel="0" collapsed="false">
      <c r="A25" s="40" t="s">
        <v>195</v>
      </c>
      <c r="B25" s="10"/>
      <c r="C25" s="41"/>
    </row>
    <row r="27" customFormat="false" ht="16.15" hidden="false" customHeight="false" outlineLevel="0" collapsed="false">
      <c r="A27" s="25" t="s">
        <v>196</v>
      </c>
      <c r="B27" s="25"/>
      <c r="C27" s="25"/>
    </row>
    <row r="28" customFormat="false" ht="16.15" hidden="false" customHeight="false" outlineLevel="0" collapsed="false">
      <c r="A28" s="13" t="s">
        <v>197</v>
      </c>
      <c r="B28" s="42" t="n">
        <f aca="false">COUNTIF(B6:B25,"Sí")</f>
        <v>0</v>
      </c>
    </row>
    <row r="29" customFormat="false" ht="16.15" hidden="false" customHeight="false" outlineLevel="0" collapsed="false">
      <c r="A29" s="13" t="s">
        <v>198</v>
      </c>
      <c r="B29" s="43" t="n">
        <f aca="false">COUNTIF(B6:B25,"Parcial")</f>
        <v>0</v>
      </c>
    </row>
    <row r="30" customFormat="false" ht="16.15" hidden="false" customHeight="false" outlineLevel="0" collapsed="false">
      <c r="A30" s="13" t="s">
        <v>199</v>
      </c>
      <c r="B30" s="44" t="n">
        <f aca="false">COUNTIF(B6:B25,"No")</f>
        <v>0</v>
      </c>
    </row>
    <row r="31" customFormat="false" ht="16.15" hidden="false" customHeight="false" outlineLevel="0" collapsed="false">
      <c r="A31" s="45" t="s">
        <v>200</v>
      </c>
      <c r="B31" s="46" t="n">
        <f aca="false">COUNTIF(B6:B25,"No aplica")</f>
        <v>0</v>
      </c>
    </row>
    <row r="33" customFormat="false" ht="22.05" hidden="false" customHeight="false" outlineLevel="0" collapsed="false">
      <c r="A33" s="30" t="s">
        <v>201</v>
      </c>
      <c r="B33" s="47" t="n">
        <f aca="false">IFERROR((COUNTIF(B6:B25,"Sí")+COUNTIF(B6:B25,"Parcial")*0.5)/(COUNTIF(B6:B25,"Sí")+COUNTIF(B6:B25,"Parcial")+COUNTIF(B6:B25,"No")),0)</f>
        <v>0</v>
      </c>
    </row>
    <row r="35" customFormat="false" ht="49.5" hidden="false" customHeight="true" outlineLevel="0" collapsed="false">
      <c r="A35" s="48" t="s">
        <v>126</v>
      </c>
      <c r="B35" s="49" t="str">
        <f aca="false">IF((COUNTIF(B6:B25,"Sí")+COUNTIF(B6:B25,"Parcial")+COUNTIF(B6:B25,"No"))=0,"Completa primero el checklist",IF(B33&gt;=0.8,"LISTOS para arrancar IA en cualquier caso del catálogo",IF(B33&gt;=0.6,"LISTOS para Quick Wins; preparar habilitadores en paralelo para casos transformacionales",IF(B33&gt;=0.4,"INVERTIR en habilitadores en paralelo al primer caso de IA (recomendamos cubrir bloques A-B antes)","PRIORIDAD: cerrar habilitadores 6-9 meses antes de iniciar IA. Sin sensorización y datos digitales, los proyectos fracasarán."))))</f>
        <v>First, complete the checklist.</v>
      </c>
      <c r="C35" s="49"/>
    </row>
  </sheetData>
  <mergeCells count="9">
    <mergeCell ref="A1:D1"/>
    <mergeCell ref="A2:D2"/>
    <mergeCell ref="A5:C5"/>
    <mergeCell ref="A9:C9"/>
    <mergeCell ref="A13:C13"/>
    <mergeCell ref="A18:C18"/>
    <mergeCell ref="A22:C22"/>
    <mergeCell ref="A27:C27"/>
    <mergeCell ref="B35:C35"/>
  </mergeCells>
  <dataValidations count="1">
    <dataValidation allowBlank="true" errorStyle="stop" operator="between" showDropDown="false" showErrorMessage="false" showInputMessage="false" sqref="B6:B8 B10:B12 B14:B17 B19:B21 B23:B25"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2026-05-03T21:39:14Z</dcterms:created>
  <dc:creator>openpyxl</dc:creator>
  <dc:description/>
  <dc:language>en-US</dc:language>
  <cp:lastModifiedBy/>
  <dcterms:modified xsi:type="dcterms:W3CDTF">2026-05-03T21:39:14Z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