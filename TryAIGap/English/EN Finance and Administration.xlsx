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Catalog" sheetId="1" state="visible" r:id="rId3"/>
    <sheet name=" Questionnaire" sheetId="2" state="visible" r:id="rId4"/>
    <sheet name=" Canvas" sheetId="3" state="visible" r:id="rId5"/>
    <sheet name=" Enablers" sheetId="4" state="visible" r:id="rId6"/>
    <sheet name=" KPIs and Targe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<sst xmlns="http://schemas.openxmlformats.org/spreadsheetml/2006/main" count="292" uniqueCount="260">
  <si>
    <t xml:space="preserve"> Use Case Catalog · Finance and Administration</t>
  </si>
  <si>
    <t xml:space="preserve"> 12 cases organized into 4 sections: Collections, Treasury, Accounting and FP&amp;A, and Purchasing. Emphasis on Quick Wins (highlighted in green). Mark the cases that apply in the last column.</t>
  </si>
  <si>
    <t xml:space="preserve"> #</t>
  </si>
  <si>
    <t xml:space="preserve"> Use case</t>
  </si>
  <si>
    <t xml:space="preserve"> Description</t>
  </si>
  <si>
    <t xml:space="preserve"> AI Family</t>
  </si>
  <si>
    <t xml:space="preserve"> Typical KPI</t>
  </si>
  <si>
    <t xml:space="preserve"> Required data</t>
  </si>
  <si>
    <t xml:space="preserve"> Effort</t>
  </si>
  <si>
    <t xml:space="preserve"> Maturity (1-5)</t>
  </si>
  <si>
    <t xml:space="preserve"> Compliance / Risk</t>
  </si>
  <si>
    <t xml:space="preserve"> Does this apply to us?</t>
  </si>
  <si>
    <t xml:space="preserve"> Grades</t>
  </si>
  <si>
    <t xml:space="preserve"> BLOCK A — ACCOUNTS RECEIVABLE AND COLLECTION</t>
  </si>
  <si>
    <t xml:space="preserve"> Intelligent prioritization of collection portfolio</t>
  </si>
  <si>
    <t xml:space="preserve"> This model prioritizes which accounts to pursue today based on payment probability, amount owed, age of the account, historical behavior, and overall health of the account. The collector works first on the portfolio with the highest expected recovery.</t>
  </si>
  <si>
    <t xml:space="preserve"> Classic ML</t>
  </si>
  <si>
    <t xml:space="preserve">DSO, effective recovery, collector productivity, % of accounts worked</t>
  </si>
  <si>
    <t xml:space="preserve"> Accounts receivable history, payment behavior, business health, customer data</t>
  </si>
  <si>
    <t xml:space="preserve"> Quick Win</t>
  </si>
  <si>
    <t xml:space="preserve"> Fair treatment of clients; explainability of prioritization; traceability of actions.</t>
  </si>
  <si>
    <t xml:space="preserve"> Personalized outreach debt collection assistant</t>
  </si>
  <si>
    <t xml:space="preserve"> Generates personalized collection messages (email, WhatsApp, voice) based on customer profile, amount, and context. The agent can execute the outreach cadence and escalate to a human when necessary.</t>
  </si>
  <si>
    <t xml:space="preserve"> GenAI + Agentic</t>
  </si>
  <si>
    <t xml:space="preserve"> Response rate, recovery time, collector productivity</t>
  </si>
  <si>
    <t xml:space="preserve"> Message templates, communication history, customer profile, channel integrations</t>
  </si>
  <si>
    <t xml:space="preserve"> Compliance with collection regulations (LFPC, collection practices); consent; traceability.</t>
  </si>
  <si>
    <t xml:space="preserve"> Probability prediction and payment date per customer</t>
  </si>
  <si>
    <t xml:space="preserve">This model predicts when each customer will pay (in days) and with what probability. It feeds into the cash flow forecast and allows treasury to anticipate liquidity with better quality.</t>
  </si>
  <si>
    <t xml:space="preserve"> Accuracy of collection forecast, cash forecast error, average delay detected</t>
  </si>
  <si>
    <t xml:space="preserve"> Payment history per customer, invoice attributes, commercial terms, calendar</t>
  </si>
  <si>
    <t xml:space="preserve"> Biases by customer segment; periodic recalibration; explainability for treasury.</t>
  </si>
  <si>
    <t xml:space="preserve"> BLOCK B — TREASURY AND CASH FLOW</t>
  </si>
  <si>
    <t xml:space="preserve"> Automatic bank reconciliation</t>
  </si>
  <si>
    <t xml:space="preserve"> An algorithm that matches bank transactions against accounting records, accounts receivable, and accounts payable. It resolves most cases automatically and only escalates ambiguous cases to the team.</t>
  </si>
  <si>
    <t xml:space="preserve"> ML + GenAI</t>
  </si>
  <si>
    <t xml:space="preserve"> Monthly reconciliation time, % automatically reconciled, errors detected</t>
  </si>
  <si>
    <t xml:space="preserve"> Bank statements, accounting records, open AR/AP, transaction taxonomy</t>
  </si>
  <si>
    <t xml:space="preserve">Match traceability; human review of exceptions; anti-fraud controls.</t>
  </si>
  <si>
    <t xml:space="preserve"> 13-week cash flow forecast</t>
  </si>
  <si>
    <t xml:space="preserve"> A model that projects weekly cash inflows and outflows by combining expected AR, scheduled AP, payroll, taxes, and seasonal patterns. It detects weeks of liquidity stress in advance.</t>
  </si>
  <si>
    <t xml:space="preserve"> Forecast error (MAPE), days of cash visibility, stress alerts</t>
  </si>
  <si>
    <t xml:space="preserve"> Bank transaction history, AR/AP, payroll, tax calendar, budget</t>
  </si>
  <si>
    <t xml:space="preserve"> Biases due to atypical shocks; retraining in the face of business model changes; explainability.</t>
  </si>
  <si>
    <t xml:space="preserve"> Detection of anomalies in bank transactions</t>
  </si>
  <si>
    <t xml:space="preserve"> A model that detects atypical bank transactions by amount, counterparty, time, or frequency. It alerts the treasury and compliance team to investigate before it's too late.</t>
  </si>
  <si>
    <t xml:space="preserve"> Anomalies detected, detection time, false positives, savings from avoided fraud</t>
  </si>
  <si>
    <t xml:space="preserve">Bank transaction history, supplier taxonomy, counterparty lists</t>
  </si>
  <si>
    <t xml:space="preserve"> False positives can block legitimate payments; human review; traceability.</t>
  </si>
  <si>
    <t xml:space="preserve"> BLOCK C — ACCOUNTING, REPORTING AND FP&amp;A</t>
  </si>
  <si>
    <t xml:space="preserve"> Automatic categorization of accounting transactions</t>
  </si>
  <si>
    <t xml:space="preserve"> Automatic assignment of accounting account, cost center, and project to each transaction based on description, amount, and historical pattern. Speeds up closing and reduces coding errors.</t>
  </si>
  <si>
    <t xml:space="preserve"> Closing time, % of transactions correctly autocoded, coding errors</t>
  </si>
  <si>
    <t xml:space="preserve"> Chart of accounts, history of coded transactions, internal rules, taxonomy of centers</t>
  </si>
  <si>
    <t xml:space="preserve"> Accounting compliance (IFRS, local standards); human review of exceptions.</t>
  </si>
  <si>
    <t xml:space="preserve"> Automatic generation of executive reports (management reporting)</t>
  </si>
  <si>
    <t xml:space="preserve">Generates the narrative commentary for the monthly executive package: variances, drivers, alerts, and recommendations, based on the financial statements and budget. The finance team reviews and approves.</t>
  </si>
  <si>
    <t xml:space="preserve"> GenAI</t>
  </si>
  <si>
    <t xml:space="preserve"> Time spent preparing the executive package, quality and consistency of the comment, % approved on first review</t>
  </si>
  <si>
    <t xml:space="preserve"> Financial statements, budget, KPIs, accounting calendar, package template</t>
  </si>
  <si>
    <t xml:space="preserve"> Mandatory human approval; traceability of figures; hallucinations (do not invent numbers).</t>
  </si>
  <si>
    <t xml:space="preserve"> Assisted budget variance analysis</t>
  </si>
  <si>
    <t xml:space="preserve"> Assistant that identifies and explains relevant budget variances (actual vs budget vs forecast), ranks by materiality, and suggests questions to ask area leaders.</t>
  </si>
  <si>
    <t xml:space="preserve"> GenAI + ML</t>
  </si>
  <si>
    <t xml:space="preserve"> Variance analysis time, quality of the CFO briefing, decisions made</t>
  </si>
  <si>
    <t xml:space="preserve"> Actual, budget, forecast, operational drivers, historical comments</t>
  </si>
  <si>
    <t xml:space="preserve">Quality of source data; human review of the analysis; explainability.</t>
  </si>
  <si>
    <t xml:space="preserve"> FP&amp;A/Finance Conversational Copilot</t>
  </si>
  <si>
    <t xml:space="preserve"> An assistant that answers questions in natural language about financial data ("what was the gross margin of line X in March?"), generates tables and graphs on the fly, and puts together analytical summaries.</t>
  </si>
  <si>
    <t xml:space="preserve"> GenAI + RAG + Text-to-SQL</t>
  </si>
  <si>
    <t xml:space="preserve"> Response time to ad hoc questions, leader self-sufficiency, FP&amp;A productivity</t>
  </si>
  <si>
    <t xml:space="preserve"> Transactional and master data, semantic model/datamart, documented definitions</t>
  </si>
  <si>
    <t xml:space="preserve"> Medium</t>
  </si>
  <si>
    <t xml:space="preserve"> Risk of incorrect answers with figures; mandatory traceability; source citation; access control.</t>
  </si>
  <si>
    <t xml:space="preserve"> BLOCK D — PURCHASES</t>
  </si>
  <si>
    <t xml:space="preserve"> Smart comparison of quotes and suppliers</t>
  </si>
  <si>
    <t xml:space="preserve"> It processes received quotes (PDF, email) and creates a standardized side-by-side comparison: price, terms, deadlines, and risks. It suggests clarifying questions and recommends a supplier with justification.</t>
  </si>
  <si>
    <t xml:space="preserve">Quote evaluation time, decision quality, savings through effective comparison</t>
  </si>
  <si>
    <t xml:space="preserve"> Quotes received, evaluation template, supplier history, selection criteria</t>
  </si>
  <si>
    <t xml:space="preserve"> Biases in recommendations; human approval; purchasing policies; conflicts of interest.</t>
  </si>
  <si>
    <t xml:space="preserve"> Spend analytics and savings opportunities</t>
  </si>
  <si>
    <t xml:space="preserve"> It categorizes all historical spending into standard categories, detects concentrations, supplier fragmentation, and opportunities for consolidation or renegotiation. It produces a dashboard of potential savings.</t>
  </si>
  <si>
    <t xml:space="preserve"> Identified savings, % of spending under management, number of suppliers</t>
  </si>
  <si>
    <t xml:space="preserve"> Data on AP, OCs, contracts, standard taxonomy of expenditure categories</t>
  </si>
  <si>
    <t xml:space="preserve"> Quality of categorization; explainability of opportunities; coordination with spending owners.</t>
  </si>
  <si>
    <t xml:space="preserve"> SUMMARY OF SELECTIONS</t>
  </si>
  <si>
    <t xml:space="preserve"> Cases marked "Yes":</t>
  </si>
  <si>
    <t xml:space="preserve"> Cases marked "Maybe":</t>
  </si>
  <si>
    <t xml:space="preserve"> Cases marked "No":</t>
  </si>
  <si>
    <t xml:space="preserve">Total candidates (Yes + Maybe):</t>
  </si>
  <si>
    <t xml:space="preserve"> ● Cases highlighted in green are Quick Wins recommended as a starting point (≤ 12 weeks, high ROI).</t>
  </si>
  <si>
    <t xml:space="preserve"> Self-assessment questionnaire · Finance and Administration</t>
  </si>
  <si>
    <t xml:space="preserve"> 16 questions in 4 sections. Scale 1-5. Automatically calculates Pain × Readiness and delivers a strategic recommendation.</t>
  </si>
  <si>
    <t xml:space="preserve"> Scale:</t>
  </si>
  <si>
    <t xml:space="preserve"> 1 = does not exist / very low · 2 = low · 3 = medium · 4 = high · 5 = systematic / very high</t>
  </si>
  <si>
    <t xml:space="preserve"> Ask</t>
  </si>
  <si>
    <t xml:space="preserve"> Score (1-5)</t>
  </si>
  <si>
    <t xml:space="preserve"> BLOCK A — Financial-Administrative Pain</t>
  </si>
  <si>
    <t xml:space="preserve"> A1</t>
  </si>
  <si>
    <t xml:space="preserve"> Time and errors in the monthly accounting close are a major pain:</t>
  </si>
  <si>
    <t xml:space="preserve"> A2</t>
  </si>
  <si>
    <t xml:space="preserve"> Our DSO / days outstanding collection and associated working capital costs are high:</t>
  </si>
  <si>
    <t xml:space="preserve"> A3</t>
  </si>
  <si>
    <t xml:space="preserve"> The error in the cash flow forecast / liquidity surprises is relevant:</t>
  </si>
  <si>
    <t xml:space="preserve"> A4</t>
  </si>
  <si>
    <t xml:space="preserve"> The time the finance team spends on repetitive manual tasks (reconciliations, reporting, categorization) is high:</t>
  </si>
  <si>
    <t xml:space="preserve">BLOCK B — Financial Data Readiness</t>
  </si>
  <si>
    <t xml:space="preserve"> B1</t>
  </si>
  <si>
    <t xml:space="preserve"> We have a unique corporate ERP/accounting system with a history of 12+ months:</t>
  </si>
  <si>
    <t xml:space="preserve"> B2</t>
  </si>
  <si>
    <t xml:space="preserve"> Banking and transaction data are digitized, complete and traceable (statements, AR, AP):</t>
  </si>
  <si>
    <t xml:space="preserve"> B3</t>
  </si>
  <si>
    <t xml:space="preserve"> The chart of accounts, taxonomy of centers, and accounting policies are standardized and documented:</t>
  </si>
  <si>
    <t xml:space="preserve"> B4</t>
  </si>
  <si>
    <t xml:space="preserve"> The data is integrated across ERP, bank, collections, and budgeting systems (not in silos or separate Excel files):</t>
  </si>
  <si>
    <t xml:space="preserve"> BLOCK C — Financial Team Readiness</t>
  </si>
  <si>
    <t xml:space="preserve"> C1</t>
  </si>
  <si>
    <t xml:space="preserve"> Finance leadership (CFO, controller) is open to incorporating AI and sponsors the initiative:</t>
  </si>
  <si>
    <t xml:space="preserve"> C2</t>
  </si>
  <si>
    <t xml:space="preserve"> There are natural allies (technological champions / superusers) on the finance team:</t>
  </si>
  <si>
    <t xml:space="preserve"> C3</t>
  </si>
  <si>
    <t xml:space="preserve"> The culture tolerates AI with a human-in-the-loop, especially on figures signed off by the CFO:</t>
  </si>
  <si>
    <t xml:space="preserve"> C4</t>
  </si>
  <si>
    <t xml:space="preserve"> The team has experience with previous financial digitization projects with reasonable results:</t>
  </si>
  <si>
    <t xml:space="preserve">BLOCK D — Strategic alignment and accounting compliance</t>
  </si>
  <si>
    <t xml:space="preserve"> D1</t>
  </si>
  <si>
    <t xml:space="preserve"> We have explicit goals: reduce DSO, improve forecast accuracy, accelerate closing times, reduce errors:</t>
  </si>
  <si>
    <t xml:space="preserve"> D2</t>
  </si>
  <si>
    <t xml:space="preserve"> There is a reasonable budget to invest in AI in finance in the next 12 months:</t>
  </si>
  <si>
    <t xml:space="preserve"> D3</t>
  </si>
  <si>
    <t xml:space="preserve"> Tax/accounting compliance is covered and the regulatory framework (IFRS, SAT/SII/DIAN, external audit) is identified:</t>
  </si>
  <si>
    <t xml:space="preserve"> D4</t>
  </si>
  <si>
    <t xml:space="preserve"> There is alignment with the CFO, audit committee, and board on financial transformation priorities:</t>
  </si>
  <si>
    <t xml:space="preserve"> RESULTS</t>
  </si>
  <si>
    <t xml:space="preserve"> Pain score (Block A):</t>
  </si>
  <si>
    <t xml:space="preserve"> Readiness score (Blocks B + C + D):</t>
  </si>
  <si>
    <t xml:space="preserve"> RECOMMENDATION:</t>
  </si>
  <si>
    <t xml:space="preserve"> Averages per block (reference):</t>
  </si>
  <si>
    <t xml:space="preserve"> Block A — Pain:</t>
  </si>
  <si>
    <t xml:space="preserve"> Block B — Data:</t>
  </si>
  <si>
    <t xml:space="preserve"> Block C — Team:</t>
  </si>
  <si>
    <t xml:space="preserve"> Block D — Strategy:</t>
  </si>
  <si>
    <t xml:space="preserve"> 2×2 Matrix — Pain × Readiness</t>
  </si>
  <si>
    <t xml:space="preserve"> Readiness LOW (&lt; 3.5)</t>
  </si>
  <si>
    <t xml:space="preserve"> Readiness HIGH (≥ 3.5)</t>
  </si>
  <si>
    <t xml:space="preserve"> High Pain (≥ 3.5)</t>
  </si>
  <si>
    <t xml:space="preserve"> Invest in enablers first</t>
  </si>
  <si>
    <t xml:space="preserve"> PRIORITY QUICK WIN</t>
  </si>
  <si>
    <t xml:space="preserve">LOW Pain (&lt; 3.5)</t>
  </si>
  <si>
    <t xml:space="preserve"> It's not time yet.</t>
  </si>
  <si>
    <t xml:space="preserve"> Opportunity without urgency</t>
  </si>
  <si>
    <t xml:space="preserve"> Opportunity Canvas · Finance and Administration</t>
  </si>
  <si>
    <t xml:space="preserve"> Document a specific opportunity on one page. Replace the example text (in italics) with your information.</t>
  </si>
  <si>
    <t xml:space="preserve"> 1. Case Name</t>
  </si>
  <si>
    <t xml:space="preserve"> Prompt: ≤ 8 words</t>
  </si>
  <si>
    <t xml:space="preserve"> Example: Automatic bank reconciliation for 3 operating accounts</t>
  </si>
  <si>
    <t xml:space="preserve"> 2. Specific pain point</t>
  </si>
  <si>
    <t xml:space="preserve"> Prompt: Today our finance team suffers X when Y</t>
  </si>
  <si>
    <t xml:space="preserve"> For example, today 2 accountants spend 6 days/month on bank reconciliation of 3 accounts with ~12,000 transactions; the closing is delayed until business day 8.</t>
  </si>
  <si>
    <t xml:space="preserve"> 3. Frequency and volume</t>
  </si>
  <si>
    <t xml:space="preserve"> Prompt: How many transactions/accounts/reports does it affect per month?</t>
  </si>
  <si>
    <t xml:space="preserve"> E.g. ~12,000 transactions/month, 3 bank accounts, 2 affected counters.</t>
  </si>
  <si>
    <t xml:space="preserve"> 4. Estimated cost of pain</t>
  </si>
  <si>
    <t xml:space="preserve"> Prompt: USD/month in direct cost + lost opportunity</t>
  </si>
  <si>
    <t xml:space="preserve"> E.g. 12 person-days/month × USD 200 = USD 2,400/month; late closing blocks CFO decisions.</t>
  </si>
  <si>
    <t xml:space="preserve">5. Primary KPI to move</t>
  </si>
  <si>
    <t xml:space="preserve"> Prompt: Specific indicator and direction</t>
  </si>
  <si>
    <t xml:space="preserve"> Example: Monthly reconciliation time (from 6 days to 1.5 days); % automatically reconciled; closing day.</t>
  </si>
  <si>
    <t xml:space="preserve"> 6. Expected magnitude of change</t>
  </si>
  <si>
    <t xml:space="preserve"> Prompt: From X to Y, on what horizon</t>
  </si>
  <si>
    <t xml:space="preserve"> E.g. Reduce reconciliation time by 75% in 4 months; save USD 1,800/month from month 3.</t>
  </si>
  <si>
    <t xml:space="preserve"> 7. Available data</t>
  </si>
  <si>
    <t xml:space="preserve"> Prompt: Sources, volume, quality, gaps</t>
  </si>
  <si>
    <t xml:space="preserve"> E.g. Bank statements in OFX/CSV format; SAP B1 ERP with daily entries; exportable open AR/AP; reasonable quality.</t>
  </si>
  <si>
    <t xml:space="preserve"> 8. Hypothetical AI Family</t>
  </si>
  <si>
    <t xml:space="preserve"> Prompt: Rules / Classic ML / GenAI / Agentic / Hybrid (Module 4)</t>
  </si>
  <si>
    <t xml:space="preserve"> E.g. Rules + classical ML for probabilistic matching; GenAI only for classifying exceptions.</t>
  </si>
  <si>
    <t xml:space="preserve"> 9. Visible risks</t>
  </si>
  <si>
    <t xml:space="preserve"> Prompt: Regulatory, technical, adoption</t>
  </si>
  <si>
    <t xml:space="preserve"> E.g. Match traceability for external audit; human review of exceptions; anti-fraud controls.</t>
  </si>
  <si>
    <t xml:space="preserve"> 10. Case Sponsor</t>
  </si>
  <si>
    <t xml:space="preserve">Prompt: Name and role of the executive sponsor</t>
  </si>
  <si>
    <t xml:space="preserve"> Example: Controller, Andrea Martínez.</t>
  </si>
  <si>
    <t xml:space="preserve"> EXIT — Case Summary for Module 2 / 3</t>
  </si>
  <si>
    <t xml:space="preserve"> When you complete the 10 fields, copy the content into the opportunity template of Module 2 (portfolio) and Module 3 (impact prioritization × feasibility).</t>
  </si>
  <si>
    <t xml:space="preserve"> Pre-AI Enablers · Finance Stack Maturity</t>
  </si>
  <si>
    <t xml:space="preserve"> Before considering AI, your finances need certain minimum capabilities. Mark the status of each enabler: Yes · Partial · No · Not applicable.</t>
  </si>
  <si>
    <t xml:space="preserve"> Enabler</t>
  </si>
  <si>
    <t xml:space="preserve"> State</t>
  </si>
  <si>
    <t xml:space="preserve"> Comment</t>
  </si>
  <si>
    <t xml:space="preserve"> A. ERP AND ACCOUNTING SYSTEMS</t>
  </si>
  <si>
    <t xml:space="preserve"> We have a single ERP / corporate accounting system (SAP, Oracle, NetSuite, SAP B1, Microsoft Dynamics, Siigo, Contpaqi, etc.)</t>
  </si>
  <si>
    <t xml:space="preserve"> Standardized chart of accounts maintained by central finance</t>
  </si>
  <si>
    <t xml:space="preserve"> Cost centers, projects, and accounting dimensions are defined and consistently applied.</t>
  </si>
  <si>
    <t xml:space="preserve"> Accounting history of at least 24 months with reasonable quality</t>
  </si>
  <si>
    <t xml:space="preserve"> B. BANKING AND FINANCIAL DATA</t>
  </si>
  <si>
    <t xml:space="preserve">Digital connection with banks (host-to-host, API, OFX, automated files)</t>
  </si>
  <si>
    <t xml:space="preserve"> Daily bank statements available in structured format</t>
  </si>
  <si>
    <t xml:space="preserve"> Digital and exportable AR (accounts receivable) and AP (accounts payable) data</t>
  </si>
  <si>
    <t xml:space="preserve"> Payment, collection and balance data accessible outside of the ERP (data lake, data mart or BI)</t>
  </si>
  <si>
    <t xml:space="preserve"> C. PROCESSES AND CONTROLS</t>
  </si>
  <si>
    <t xml:space="preserve"> Documented accounting closing schedule completed within reasonable timeframes</t>
  </si>
  <si>
    <t xml:space="preserve"> Standardized reconciliation, accrual, and closing processes (not dependent on people)</t>
  </si>
  <si>
    <t xml:space="preserve"> Documented internal controls (segregation of duties, approvals, dual sign)</t>
  </si>
  <si>
    <t xml:space="preserve"> External audit with opinion and observations under control</t>
  </si>
  <si>
    <t xml:space="preserve"> D. REPORTS AND FP&amp;A</t>
  </si>
  <si>
    <t xml:space="preserve"> There is an annual budget with operational breakdown and an update process</t>
  </si>
  <si>
    <t xml:space="preserve"> Rolling operational forecast (monthly or quarterly), not just fixed budget</t>
  </si>
  <si>
    <t xml:space="preserve"> Executive report / standardized monthly package for CFO/board</t>
  </si>
  <si>
    <t xml:space="preserve">Financial model or data mart with clear definitions of financial KPIs</t>
  </si>
  <si>
    <t xml:space="preserve"> E. PROCESSES, EQUIPMENT AND GOVERNANCE</t>
  </si>
  <si>
    <t xml:space="preserve"> There is an identified Finance Tech / Financial Transformation Manager</t>
  </si>
  <si>
    <t xml:space="preserve"> There is operational alignment between finance, IT, and business areas</t>
  </si>
  <si>
    <t xml:space="preserve"> The finance team has minimal capacity for prompting/using GenAI tools</t>
  </si>
  <si>
    <t xml:space="preserve"> There is an internal policy on the responsible use of AI in financial information (reviewed figures, traceability, no hallucination)</t>
  </si>
  <si>
    <t xml:space="preserve"> READINESS SUMMARY AND SCORE</t>
  </si>
  <si>
    <t xml:space="preserve"> Enablers marked "Yes":</t>
  </si>
  <si>
    <t xml:space="preserve"> Partial exams:</t>
  </si>
  <si>
    <t xml:space="preserve"> We do not have:</t>
  </si>
  <si>
    <t xml:space="preserve"> Not applicable:</t>
  </si>
  <si>
    <t xml:space="preserve"> FINANCIAL READINESS SCORE:</t>
  </si>
  <si>
    <t xml:space="preserve"> KPIs and Targets · Finance and Administration</t>
  </si>
  <si>
    <t xml:space="preserve"> For each use case, define the primary KPI, its baseline (today), expected target, and horizon. The uplift is calculated automatically. Fill in the Baseline / Target / Horizon cells for your use case.</t>
  </si>
  <si>
    <t xml:space="preserve"> Main KPI</t>
  </si>
  <si>
    <t xml:space="preserve"> Unit</t>
  </si>
  <si>
    <t xml:space="preserve"> Baseline (today)</t>
  </si>
  <si>
    <t xml:space="preserve"> Target</t>
  </si>
  <si>
    <t xml:space="preserve"> Uplift</t>
  </si>
  <si>
    <t xml:space="preserve"> Horizon (months)</t>
  </si>
  <si>
    <t xml:space="preserve">Intelligent collection prioritization</t>
  </si>
  <si>
    <t xml:space="preserve"> DSO (days sales outstanding)</t>
  </si>
  <si>
    <t xml:space="preserve"> days</t>
  </si>
  <si>
    <t xml:space="preserve"> Custom Collection Outreach</t>
  </si>
  <si>
    <t xml:space="preserve"> Collection response rate</t>
  </si>
  <si>
    <t xml:space="preserve"> %</t>
  </si>
  <si>
    <t xml:space="preserve"> Probability prediction and payment date</t>
  </si>
  <si>
    <t xml:space="preserve"> Collection forecast error (MAPE)</t>
  </si>
  <si>
    <t xml:space="preserve"> % automatically reconciled</t>
  </si>
  <si>
    <t xml:space="preserve"> Cash forecast error (MAPE)</t>
  </si>
  <si>
    <t xml:space="preserve"> Anomaly detection in transactions</t>
  </si>
  <si>
    <t xml:space="preserve"> Time to anomaly detection</t>
  </si>
  <si>
    <t xml:space="preserve"> Automatic transaction categorization</t>
  </si>
  <si>
    <t xml:space="preserve"> % auto-coded transactions</t>
  </si>
  <si>
    <t xml:space="preserve"> Generation of executive reports</t>
  </si>
  <si>
    <t xml:space="preserve"> Package preparation time</t>
  </si>
  <si>
    <t xml:space="preserve"> Analysis of budget variances</t>
  </si>
  <si>
    <t xml:space="preserve"> Variation analysis time</t>
  </si>
  <si>
    <t xml:space="preserve"> hours</t>
  </si>
  <si>
    <t xml:space="preserve"> FP&amp;A Conversational Copilot</t>
  </si>
  <si>
    <t xml:space="preserve"> Response time to ad hoc questions</t>
  </si>
  <si>
    <t xml:space="preserve"> Comparison of quotes and suppliers</t>
  </si>
  <si>
    <t xml:space="preserve"> Quotation evaluation time</t>
  </si>
  <si>
    <t xml:space="preserve"> Spending and Savings Analysis</t>
  </si>
  <si>
    <t xml:space="preserve"> Identified savings on base expenditure</t>
  </si>
  <si>
    <t xml:space="preserve"> SUMMARY</t>
  </si>
  <si>
    <t xml:space="preserve"> Cases with defined Baseline:</t>
  </si>
  <si>
    <t xml:space="preserve">Cases with a defined target:</t>
  </si>
  <si>
    <t xml:space="preserve"> Average uplift (defined cases):</t>
  </si>
  <si>
    <t xml:space="preserve"> Average horizon (months):</t>
  </si>
  <si>
    <t xml:space="preserve"> Note: The Baseline (E), Target (F), Horizon (H), and Notes (I) cells are editable. The Uplift (G) is calculated automatically: for KPIs that decrease (DSO, errors, times), it shows the percentage savings; for KPIs that increase (automatic %, response rate, savings), it shows the percentage increase.</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</si>
</sst>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sz val="11"/>
      <color rgb="FF6B7280"/>
      <name val="Arial"/>
      <family val="0"/>
      <charset val="1"/>
    </font>
    <font>
      <b val="true"/>
      <sz val="11"/>
      <color rgb="FF1F3A5F"/>
      <name val="Arial"/>
      <family val="0"/>
      <charset val="1"/>
    </font>
    <font>
      <b val="true"/>
      <sz val="12"/>
      <color rgb="FF1F3A5F"/>
      <name val="Arial"/>
      <family val="0"/>
      <charset val="1"/>
    </font>
    <font>
      <sz val="11"/>
      <name val="Arial"/>
      <family val="0"/>
      <charset val="1"/>
    </font>
    <font>
      <b val="true"/>
      <sz val="11"/>
      <color rgb="FF065F46"/>
      <name val="Arial"/>
      <family val="0"/>
      <charset val="1"/>
    </font>
    <font>
      <b val="true"/>
      <sz val="13"/>
      <color rgb="FF1F3A5F"/>
      <name val="Arial"/>
      <family val="0"/>
      <charset val="1"/>
    </font>
    <font>
      <sz val="10"/>
      <color rgb="FF6B7280"/>
      <name val="Arial"/>
      <family val="0"/>
      <charset val="1"/>
    </font>
    <font>
      <i val="true"/>
      <sz val="11"/>
      <color rgb="FF374151"/>
      <name val="Arial"/>
      <family val="0"/>
      <charset val="1"/>
    </font>
  </fonts>
  <fills count="6">
    <fill>
      <patternFill patternType="none"/>
    </fill>
    <fill>
      <patternFill patternType="gray125"/>
    </fill>
    <fill>
      <patternFill patternType="solid">
        <fgColor rgb="FFE8EEF4"/>
        <bgColor rgb="FFFDE7E9"/>
      </patternFill>
    </fill>
    <fill>
      <patternFill patternType="solid">
        <fgColor rgb="FFD1FAE5"/>
        <bgColor rgb="FFCCFFFF"/>
      </patternFill>
    </fill>
    <fill>
      <patternFill patternType="solid">
        <fgColor rgb="FFFDE7E9"/>
        <bgColor rgb="FFE8EEF4"/>
      </patternFill>
    </fill>
    <fill>
      <patternFill patternType="solid">
        <fgColor rgb="FFFFF8DC"/>
        <bgColor rgb="FFFDE7E9"/>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5"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10" fillId="0" borderId="0" xfId="0" applyFont="true" applyBorder="fals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8EEF4"/>
      <rgbColor rgb="FFFF0000"/>
      <rgbColor rgb="FF00FF00"/>
      <rgbColor rgb="FF0000FF"/>
      <rgbColor rgb="FFFFFF00"/>
      <rgbColor rgb="FFFF00FF"/>
      <rgbColor rgb="FF00FFFF"/>
      <rgbColor rgb="FF800000"/>
      <rgbColor rgb="FF008000"/>
      <rgbColor rgb="FF000080"/>
      <rgbColor rgb="FF808000"/>
      <rgbColor rgb="FF800080"/>
      <rgbColor rgb="FF065F46"/>
      <rgbColor rgb="FFC0C0C0"/>
      <rgbColor rgb="FF808080"/>
      <rgbColor rgb="FF9999FF"/>
      <rgbColor rgb="FF993366"/>
      <rgbColor rgb="FFFFF8DC"/>
      <rgbColor rgb="FFCCFF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D1FAE5"/>
      <rgbColor rgb="FFFDE7E9"/>
      <rgbColor rgb="FF99CCFF"/>
      <rgbColor rgb="FFFF99CC"/>
      <rgbColor rgb="FFCC99FF"/>
      <rgbColor rgb="FFFFCC99"/>
      <rgbColor rgb="FF3366FF"/>
      <rgbColor rgb="FF33CCCC"/>
      <rgbColor rgb="FF99CC00"/>
      <rgbColor rgb="FFFFCC00"/>
      <rgbColor rgb="FFFF9900"/>
      <rgbColor rgb="FFFF6600"/>
      <rgbColor rgb="FF6B7280"/>
      <rgbColor rgb="FF969696"/>
      <rgbColor rgb="FF1F3A5F"/>
      <rgbColor rgb="FF339966"/>
      <rgbColor rgb="FF003300"/>
      <rgbColor rgb="FF333300"/>
      <rgbColor rgb="FF993300"/>
      <rgbColor rgb="FF993366"/>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44"/>
    <col collapsed="false" customWidth="true" hidden="false" outlineLevel="0" max="4" min="4" style="0" width="20"/>
    <col collapsed="false" customWidth="true" hidden="false" outlineLevel="0" max="5" min="5" style="0" width="26"/>
    <col collapsed="false" customWidth="true" hidden="false" outlineLevel="0" max="6" min="6" style="0" width="30"/>
    <col collapsed="false" customWidth="true" hidden="false" outlineLevel="0" max="7" min="7" style="0" width="14"/>
    <col collapsed="false" customWidth="true" hidden="false" outlineLevel="0" max="8" min="8" style="0" width="11"/>
    <col collapsed="false" customWidth="true" hidden="false" outlineLevel="0" max="9" min="9" style="0" width="30"/>
    <col collapsed="false" customWidth="true" hidden="false" outlineLevel="0" max="10" min="10" style="0" width="16"/>
    <col collapsed="false" customWidth="true" hidden="false" outlineLevel="0" max="11" min="11" style="0" width="24"/>
  </cols>
  <sheetData>
    <row r="1" customFormat="false" ht="27.75" hidden="false" customHeight="true" outlineLevel="0" collapsed="false">
      <c r="A1" s="1" t="s">
        <v>0</v>
      </c>
      <c r="B1" s="1"/>
      <c r="C1" s="1"/>
      <c r="D1" s="1"/>
      <c r="E1" s="1"/>
      <c r="F1" s="1"/>
      <c r="G1" s="1"/>
      <c r="H1" s="1"/>
      <c r="I1" s="1"/>
      <c r="J1" s="1"/>
      <c r="K1" s="1"/>
    </row>
    <row r="2" customFormat="false" ht="30" hidden="false" customHeight="true" outlineLevel="0" collapsed="false">
      <c r="A2" s="2" t="s">
        <v>1</v>
      </c>
      <c r="B2" s="2"/>
      <c r="C2" s="2"/>
      <c r="D2" s="2"/>
      <c r="E2" s="2"/>
      <c r="F2" s="2"/>
      <c r="G2" s="2"/>
      <c r="H2" s="2"/>
      <c r="I2" s="2"/>
      <c r="J2" s="2"/>
      <c r="K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1.75" hidden="false" customHeight="true" outlineLevel="0" collapsed="false">
      <c r="A5" s="4" t="s">
        <v>13</v>
      </c>
      <c r="B5" s="4"/>
      <c r="C5" s="4"/>
      <c r="D5" s="4"/>
      <c r="E5" s="4"/>
      <c r="F5" s="4"/>
      <c r="G5" s="4"/>
      <c r="H5" s="4"/>
      <c r="I5" s="4"/>
      <c r="J5" s="4"/>
      <c r="K5" s="4"/>
    </row>
    <row r="6" customFormat="false" ht="84" hidden="false" customHeight="true" outlineLevel="0" collapsed="false">
      <c r="A6" s="5" t="n">
        <v>1</v>
      </c>
      <c r="B6" s="6" t="s">
        <v>14</v>
      </c>
      <c r="C6" s="6" t="s">
        <v>15</v>
      </c>
      <c r="D6" s="6" t="s">
        <v>16</v>
      </c>
      <c r="E6" s="6" t="s">
        <v>17</v>
      </c>
      <c r="F6" s="6" t="s">
        <v>18</v>
      </c>
      <c r="G6" s="7" t="s">
        <v>19</v>
      </c>
      <c r="H6" s="5" t="n">
        <v>5</v>
      </c>
      <c r="I6" s="6" t="s">
        <v>20</v>
      </c>
    </row>
    <row r="7" customFormat="false" ht="84" hidden="false" customHeight="true" outlineLevel="0" collapsed="false">
      <c r="A7" s="5" t="n">
        <v>2</v>
      </c>
      <c r="B7" s="6" t="s">
        <v>21</v>
      </c>
      <c r="C7" s="6" t="s">
        <v>22</v>
      </c>
      <c r="D7" s="6" t="s">
        <v>23</v>
      </c>
      <c r="E7" s="6" t="s">
        <v>24</v>
      </c>
      <c r="F7" s="6" t="s">
        <v>25</v>
      </c>
      <c r="G7" s="7" t="s">
        <v>19</v>
      </c>
      <c r="H7" s="5" t="n">
        <v>4</v>
      </c>
      <c r="I7" s="6" t="s">
        <v>26</v>
      </c>
    </row>
    <row r="8" customFormat="false" ht="84" hidden="false" customHeight="true" outlineLevel="0" collapsed="false">
      <c r="A8" s="5" t="n">
        <v>3</v>
      </c>
      <c r="B8" s="6" t="s">
        <v>27</v>
      </c>
      <c r="C8" s="6" t="s">
        <v>28</v>
      </c>
      <c r="D8" s="6" t="s">
        <v>16</v>
      </c>
      <c r="E8" s="6" t="s">
        <v>29</v>
      </c>
      <c r="F8" s="6" t="s">
        <v>30</v>
      </c>
      <c r="G8" s="7" t="s">
        <v>19</v>
      </c>
      <c r="H8" s="5" t="n">
        <v>5</v>
      </c>
      <c r="I8" s="6" t="s">
        <v>31</v>
      </c>
    </row>
    <row r="9" customFormat="false" ht="21.75" hidden="false" customHeight="true" outlineLevel="0" collapsed="false">
      <c r="A9" s="4" t="s">
        <v>32</v>
      </c>
      <c r="B9" s="4"/>
      <c r="C9" s="4"/>
      <c r="D9" s="4"/>
      <c r="E9" s="4"/>
      <c r="F9" s="4"/>
      <c r="G9" s="4"/>
      <c r="H9" s="4"/>
      <c r="I9" s="4"/>
      <c r="J9" s="4"/>
      <c r="K9" s="4"/>
    </row>
    <row r="10" customFormat="false" ht="84" hidden="false" customHeight="true" outlineLevel="0" collapsed="false">
      <c r="A10" s="5" t="n">
        <v>4</v>
      </c>
      <c r="B10" s="6" t="s">
        <v>33</v>
      </c>
      <c r="C10" s="6" t="s">
        <v>34</v>
      </c>
      <c r="D10" s="6" t="s">
        <v>35</v>
      </c>
      <c r="E10" s="6" t="s">
        <v>36</v>
      </c>
      <c r="F10" s="6" t="s">
        <v>37</v>
      </c>
      <c r="G10" s="7" t="s">
        <v>19</v>
      </c>
      <c r="H10" s="5" t="n">
        <v>5</v>
      </c>
      <c r="I10" s="6" t="s">
        <v>38</v>
      </c>
    </row>
    <row r="11" customFormat="false" ht="84" hidden="false" customHeight="true" outlineLevel="0" collapsed="false">
      <c r="A11" s="5" t="n">
        <v>5</v>
      </c>
      <c r="B11" s="6" t="s">
        <v>39</v>
      </c>
      <c r="C11" s="6" t="s">
        <v>40</v>
      </c>
      <c r="D11" s="6" t="s">
        <v>16</v>
      </c>
      <c r="E11" s="6" t="s">
        <v>41</v>
      </c>
      <c r="F11" s="6" t="s">
        <v>42</v>
      </c>
      <c r="G11" s="7" t="s">
        <v>19</v>
      </c>
      <c r="H11" s="5" t="n">
        <v>5</v>
      </c>
      <c r="I11" s="6" t="s">
        <v>43</v>
      </c>
    </row>
    <row r="12" customFormat="false" ht="84" hidden="false" customHeight="true" outlineLevel="0" collapsed="false">
      <c r="A12" s="5" t="n">
        <v>6</v>
      </c>
      <c r="B12" s="6" t="s">
        <v>44</v>
      </c>
      <c r="C12" s="6" t="s">
        <v>45</v>
      </c>
      <c r="D12" s="6" t="s">
        <v>16</v>
      </c>
      <c r="E12" s="6" t="s">
        <v>46</v>
      </c>
      <c r="F12" s="6" t="s">
        <v>47</v>
      </c>
      <c r="G12" s="7" t="s">
        <v>19</v>
      </c>
      <c r="H12" s="5" t="n">
        <v>5</v>
      </c>
      <c r="I12" s="6" t="s">
        <v>48</v>
      </c>
    </row>
    <row r="13" customFormat="false" ht="21.75" hidden="false" customHeight="true" outlineLevel="0" collapsed="false">
      <c r="A13" s="4" t="s">
        <v>49</v>
      </c>
      <c r="B13" s="4"/>
      <c r="C13" s="4"/>
      <c r="D13" s="4"/>
      <c r="E13" s="4"/>
      <c r="F13" s="4"/>
      <c r="G13" s="4"/>
      <c r="H13" s="4"/>
      <c r="I13" s="4"/>
      <c r="J13" s="4"/>
      <c r="K13" s="4"/>
    </row>
    <row r="14" customFormat="false" ht="84" hidden="false" customHeight="true" outlineLevel="0" collapsed="false">
      <c r="A14" s="5" t="n">
        <v>7</v>
      </c>
      <c r="B14" s="6" t="s">
        <v>50</v>
      </c>
      <c r="C14" s="6" t="s">
        <v>51</v>
      </c>
      <c r="D14" s="6" t="s">
        <v>35</v>
      </c>
      <c r="E14" s="6" t="s">
        <v>52</v>
      </c>
      <c r="F14" s="6" t="s">
        <v>53</v>
      </c>
      <c r="G14" s="7" t="s">
        <v>19</v>
      </c>
      <c r="H14" s="5" t="n">
        <v>5</v>
      </c>
      <c r="I14" s="6" t="s">
        <v>54</v>
      </c>
    </row>
    <row r="15" customFormat="false" ht="84" hidden="false" customHeight="true" outlineLevel="0" collapsed="false">
      <c r="A15" s="5" t="n">
        <v>8</v>
      </c>
      <c r="B15" s="6" t="s">
        <v>55</v>
      </c>
      <c r="C15" s="6" t="s">
        <v>56</v>
      </c>
      <c r="D15" s="6" t="s">
        <v>57</v>
      </c>
      <c r="E15" s="6" t="s">
        <v>58</v>
      </c>
      <c r="F15" s="6" t="s">
        <v>59</v>
      </c>
      <c r="G15" s="7" t="s">
        <v>19</v>
      </c>
      <c r="H15" s="5" t="n">
        <v>5</v>
      </c>
      <c r="I15" s="6" t="s">
        <v>60</v>
      </c>
    </row>
    <row r="16" customFormat="false" ht="84" hidden="false" customHeight="true" outlineLevel="0" collapsed="false">
      <c r="A16" s="5" t="n">
        <v>9</v>
      </c>
      <c r="B16" s="6" t="s">
        <v>61</v>
      </c>
      <c r="C16" s="6" t="s">
        <v>62</v>
      </c>
      <c r="D16" s="6" t="s">
        <v>63</v>
      </c>
      <c r="E16" s="6" t="s">
        <v>64</v>
      </c>
      <c r="F16" s="6" t="s">
        <v>65</v>
      </c>
      <c r="G16" s="7" t="s">
        <v>19</v>
      </c>
      <c r="H16" s="5" t="n">
        <v>4</v>
      </c>
      <c r="I16" s="6" t="s">
        <v>66</v>
      </c>
    </row>
    <row r="17" customFormat="false" ht="84" hidden="false" customHeight="true" outlineLevel="0" collapsed="false">
      <c r="A17" s="5" t="n">
        <v>10</v>
      </c>
      <c r="B17" s="6" t="s">
        <v>67</v>
      </c>
      <c r="C17" s="6" t="s">
        <v>68</v>
      </c>
      <c r="D17" s="6" t="s">
        <v>69</v>
      </c>
      <c r="E17" s="6" t="s">
        <v>70</v>
      </c>
      <c r="F17" s="6" t="s">
        <v>71</v>
      </c>
      <c r="G17" s="5" t="s">
        <v>72</v>
      </c>
      <c r="H17" s="5" t="n">
        <v>4</v>
      </c>
      <c r="I17" s="6" t="s">
        <v>73</v>
      </c>
    </row>
    <row r="18" customFormat="false" ht="21.75" hidden="false" customHeight="true" outlineLevel="0" collapsed="false">
      <c r="A18" s="4" t="s">
        <v>74</v>
      </c>
      <c r="B18" s="4"/>
      <c r="C18" s="4"/>
      <c r="D18" s="4"/>
      <c r="E18" s="4"/>
      <c r="F18" s="4"/>
      <c r="G18" s="4"/>
      <c r="H18" s="4"/>
      <c r="I18" s="4"/>
      <c r="J18" s="4"/>
      <c r="K18" s="4"/>
    </row>
    <row r="19" customFormat="false" ht="84" hidden="false" customHeight="true" outlineLevel="0" collapsed="false">
      <c r="A19" s="5" t="n">
        <v>11</v>
      </c>
      <c r="B19" s="6" t="s">
        <v>75</v>
      </c>
      <c r="C19" s="6" t="s">
        <v>76</v>
      </c>
      <c r="D19" s="6" t="s">
        <v>57</v>
      </c>
      <c r="E19" s="6" t="s">
        <v>77</v>
      </c>
      <c r="F19" s="6" t="s">
        <v>78</v>
      </c>
      <c r="G19" s="7" t="s">
        <v>19</v>
      </c>
      <c r="H19" s="5" t="n">
        <v>5</v>
      </c>
      <c r="I19" s="6" t="s">
        <v>79</v>
      </c>
    </row>
    <row r="20" customFormat="false" ht="84" hidden="false" customHeight="true" outlineLevel="0" collapsed="false">
      <c r="A20" s="5" t="n">
        <v>12</v>
      </c>
      <c r="B20" s="6" t="s">
        <v>80</v>
      </c>
      <c r="C20" s="6" t="s">
        <v>81</v>
      </c>
      <c r="D20" s="6" t="s">
        <v>35</v>
      </c>
      <c r="E20" s="6" t="s">
        <v>82</v>
      </c>
      <c r="F20" s="6" t="s">
        <v>83</v>
      </c>
      <c r="G20" s="5" t="s">
        <v>72</v>
      </c>
      <c r="H20" s="5" t="n">
        <v>4</v>
      </c>
      <c r="I20" s="6" t="s">
        <v>84</v>
      </c>
    </row>
    <row r="22" customFormat="false" ht="21.75" hidden="false" customHeight="true" outlineLevel="0" collapsed="false">
      <c r="A22" s="4" t="s">
        <v>85</v>
      </c>
      <c r="B22" s="4"/>
      <c r="C22" s="4"/>
      <c r="D22" s="4"/>
    </row>
    <row r="23" customFormat="false" ht="18" hidden="false" customHeight="true" outlineLevel="0" collapsed="false">
      <c r="A23" s="8" t="s">
        <v>86</v>
      </c>
      <c r="B23" s="9" t="n">
        <f aca="false">COUNTIF(J6:J8,"Sí")+COUNTIF(J10:J12,"Sí")+COUNTIF(J14:J17,"Sí")+COUNTIF(J19:J20,"Sí")</f>
        <v>0</v>
      </c>
    </row>
    <row r="24" customFormat="false" ht="18" hidden="false" customHeight="true" outlineLevel="0" collapsed="false">
      <c r="A24" s="8" t="s">
        <v>87</v>
      </c>
      <c r="B24" s="9" t="n">
        <f aca="false">COUNTIF(J6:J8,"Tal vez")+COUNTIF(J10:J12,"Tal vez")+COUNTIF(J14:J17,"Tal vez")+COUNTIF(J19:J20,"Tal vez")</f>
        <v>0</v>
      </c>
    </row>
    <row r="25" customFormat="false" ht="18" hidden="false" customHeight="true" outlineLevel="0" collapsed="false">
      <c r="A25" s="8" t="s">
        <v>88</v>
      </c>
      <c r="B25" s="9" t="n">
        <f aca="false">COUNTIF(J6:J8,"No")+COUNTIF(J10:J12,"No")+COUNTIF(J14:J17,"No")+COUNTIF(J19:J20,"No")</f>
        <v>0</v>
      </c>
    </row>
    <row r="26" customFormat="false" ht="18" hidden="false" customHeight="true" outlineLevel="0" collapsed="false">
      <c r="A26" s="8" t="s">
        <v>89</v>
      </c>
      <c r="B26" s="9" t="n">
        <f aca="false">COUNTIF(J6:J8,"Sí")+COUNTIF(J10:J12,"Sí")+COUNTIF(J14:J17,"Sí")+COUNTIF(J19:J20,"Sí")+COUNTIF(J6:J8,"Tal vez")+COUNTIF(J10:J12,"Tal vez")+COUNTIF(J14:J17,"Tal vez")+COUNTIF(J19:J20,"Tal vez")</f>
        <v>0</v>
      </c>
    </row>
    <row r="28" customFormat="false" ht="21.75" hidden="false" customHeight="true" outlineLevel="0" collapsed="false">
      <c r="A28" s="10" t="s">
        <v>90</v>
      </c>
      <c r="B28" s="10"/>
      <c r="C28" s="10"/>
      <c r="D28" s="10"/>
      <c r="E28" s="10"/>
      <c r="F28" s="10"/>
      <c r="G28" s="10"/>
      <c r="H28" s="10"/>
      <c r="I28" s="10"/>
      <c r="J28" s="10"/>
      <c r="K28" s="10"/>
    </row>
  </sheetData>
  <mergeCells count="8">
    <mergeCell ref="A1:K1"/>
    <mergeCell ref="A2:K2"/>
    <mergeCell ref="A5:K5"/>
    <mergeCell ref="A9:K9"/>
    <mergeCell ref="A13:K13"/>
    <mergeCell ref="A18:K18"/>
    <mergeCell ref="A22:D22"/>
    <mergeCell ref="A28:K28"/>
  </mergeCells>
  <dataValidations count="1">
    <dataValidation allowBlank="true" errorStyle="stop" operator="between" showDropDown="false" showErrorMessage="false" showInputMessage="false" sqref="J6:J8 J10:J12 J14:J17 J19:J20" type="list">
      <formula1>"Sí,No,Tal vez"</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22"/>
    <col collapsed="false" customWidth="true" hidden="false" outlineLevel="0" max="4" min="4" style="0" width="4"/>
    <col collapsed="false" customWidth="true" hidden="false" outlineLevel="0" max="5" min="5" style="0" width="22"/>
  </cols>
  <sheetData>
    <row r="1" customFormat="false" ht="27.75" hidden="false" customHeight="true" outlineLevel="0" collapsed="false">
      <c r="A1" s="1" t="s">
        <v>91</v>
      </c>
      <c r="B1" s="1"/>
      <c r="C1" s="1"/>
      <c r="D1" s="1"/>
      <c r="E1" s="1"/>
    </row>
    <row r="2" customFormat="false" ht="30" hidden="false" customHeight="true" outlineLevel="0" collapsed="false">
      <c r="A2" s="2" t="s">
        <v>92</v>
      </c>
      <c r="B2" s="2"/>
      <c r="C2" s="2"/>
      <c r="D2" s="2"/>
      <c r="E2" s="2"/>
    </row>
    <row r="4" customFormat="false" ht="15" hidden="false" customHeight="false" outlineLevel="0" collapsed="false">
      <c r="A4" s="11" t="s">
        <v>93</v>
      </c>
      <c r="B4" s="12" t="s">
        <v>94</v>
      </c>
      <c r="C4" s="12"/>
      <c r="D4" s="12"/>
      <c r="E4" s="12"/>
    </row>
    <row r="6" customFormat="false" ht="24" hidden="false" customHeight="true" outlineLevel="0" collapsed="false">
      <c r="A6" s="3" t="s">
        <v>2</v>
      </c>
      <c r="B6" s="3" t="s">
        <v>95</v>
      </c>
      <c r="C6" s="3" t="s">
        <v>96</v>
      </c>
    </row>
    <row r="8" customFormat="false" ht="21.75" hidden="false" customHeight="true" outlineLevel="0" collapsed="false">
      <c r="A8" s="13" t="s">
        <v>97</v>
      </c>
      <c r="B8" s="13"/>
      <c r="C8" s="13"/>
      <c r="D8" s="13"/>
      <c r="E8" s="13"/>
    </row>
    <row r="9" customFormat="false" ht="31.5" hidden="false" customHeight="true" outlineLevel="0" collapsed="false">
      <c r="A9" s="14" t="s">
        <v>98</v>
      </c>
      <c r="B9" s="15" t="s">
        <v>99</v>
      </c>
      <c r="C9" s="16"/>
    </row>
    <row r="10" customFormat="false" ht="31.5" hidden="false" customHeight="true" outlineLevel="0" collapsed="false">
      <c r="A10" s="14" t="s">
        <v>100</v>
      </c>
      <c r="B10" s="15" t="s">
        <v>101</v>
      </c>
      <c r="C10" s="16"/>
    </row>
    <row r="11" customFormat="false" ht="31.5" hidden="false" customHeight="true" outlineLevel="0" collapsed="false">
      <c r="A11" s="14" t="s">
        <v>102</v>
      </c>
      <c r="B11" s="15" t="s">
        <v>103</v>
      </c>
      <c r="C11" s="16"/>
    </row>
    <row r="12" customFormat="false" ht="31.5" hidden="false" customHeight="true" outlineLevel="0" collapsed="false">
      <c r="A12" s="14" t="s">
        <v>104</v>
      </c>
      <c r="B12" s="15" t="s">
        <v>105</v>
      </c>
      <c r="C12" s="16"/>
    </row>
    <row r="14" customFormat="false" ht="21.75" hidden="false" customHeight="true" outlineLevel="0" collapsed="false">
      <c r="A14" s="4" t="s">
        <v>106</v>
      </c>
      <c r="B14" s="4"/>
      <c r="C14" s="4"/>
      <c r="D14" s="4"/>
      <c r="E14" s="4"/>
    </row>
    <row r="15" customFormat="false" ht="31.5" hidden="false" customHeight="true" outlineLevel="0" collapsed="false">
      <c r="A15" s="14" t="s">
        <v>107</v>
      </c>
      <c r="B15" s="15" t="s">
        <v>108</v>
      </c>
      <c r="C15" s="16"/>
    </row>
    <row r="16" customFormat="false" ht="31.5" hidden="false" customHeight="true" outlineLevel="0" collapsed="false">
      <c r="A16" s="14" t="s">
        <v>109</v>
      </c>
      <c r="B16" s="15" t="s">
        <v>110</v>
      </c>
      <c r="C16" s="16"/>
    </row>
    <row r="17" customFormat="false" ht="31.5" hidden="false" customHeight="true" outlineLevel="0" collapsed="false">
      <c r="A17" s="14" t="s">
        <v>111</v>
      </c>
      <c r="B17" s="15" t="s">
        <v>112</v>
      </c>
      <c r="C17" s="16"/>
    </row>
    <row r="18" customFormat="false" ht="31.5" hidden="false" customHeight="true" outlineLevel="0" collapsed="false">
      <c r="A18" s="14" t="s">
        <v>113</v>
      </c>
      <c r="B18" s="15" t="s">
        <v>114</v>
      </c>
      <c r="C18" s="16"/>
    </row>
    <row r="20" customFormat="false" ht="21.75" hidden="false" customHeight="true" outlineLevel="0" collapsed="false">
      <c r="A20" s="4" t="s">
        <v>115</v>
      </c>
      <c r="B20" s="4"/>
      <c r="C20" s="4"/>
      <c r="D20" s="4"/>
      <c r="E20" s="4"/>
    </row>
    <row r="21" customFormat="false" ht="31.5" hidden="false" customHeight="true" outlineLevel="0" collapsed="false">
      <c r="A21" s="14" t="s">
        <v>116</v>
      </c>
      <c r="B21" s="15" t="s">
        <v>117</v>
      </c>
      <c r="C21" s="16"/>
    </row>
    <row r="22" customFormat="false" ht="31.5" hidden="false" customHeight="true" outlineLevel="0" collapsed="false">
      <c r="A22" s="14" t="s">
        <v>118</v>
      </c>
      <c r="B22" s="15" t="s">
        <v>119</v>
      </c>
      <c r="C22" s="16"/>
    </row>
    <row r="23" customFormat="false" ht="31.5" hidden="false" customHeight="true" outlineLevel="0" collapsed="false">
      <c r="A23" s="14" t="s">
        <v>120</v>
      </c>
      <c r="B23" s="15" t="s">
        <v>121</v>
      </c>
      <c r="C23" s="16"/>
    </row>
    <row r="24" customFormat="false" ht="31.5" hidden="false" customHeight="true" outlineLevel="0" collapsed="false">
      <c r="A24" s="14" t="s">
        <v>122</v>
      </c>
      <c r="B24" s="15" t="s">
        <v>123</v>
      </c>
      <c r="C24" s="16"/>
    </row>
    <row r="26" customFormat="false" ht="21.75" hidden="false" customHeight="true" outlineLevel="0" collapsed="false">
      <c r="A26" s="4" t="s">
        <v>124</v>
      </c>
      <c r="B26" s="4"/>
      <c r="C26" s="4"/>
      <c r="D26" s="4"/>
      <c r="E26" s="4"/>
    </row>
    <row r="27" customFormat="false" ht="31.5" hidden="false" customHeight="true" outlineLevel="0" collapsed="false">
      <c r="A27" s="14" t="s">
        <v>125</v>
      </c>
      <c r="B27" s="15" t="s">
        <v>126</v>
      </c>
      <c r="C27" s="16"/>
    </row>
    <row r="28" customFormat="false" ht="31.5" hidden="false" customHeight="true" outlineLevel="0" collapsed="false">
      <c r="A28" s="14" t="s">
        <v>127</v>
      </c>
      <c r="B28" s="15" t="s">
        <v>128</v>
      </c>
      <c r="C28" s="16"/>
    </row>
    <row r="29" customFormat="false" ht="31.5" hidden="false" customHeight="true" outlineLevel="0" collapsed="false">
      <c r="A29" s="14" t="s">
        <v>129</v>
      </c>
      <c r="B29" s="15" t="s">
        <v>130</v>
      </c>
      <c r="C29" s="16"/>
    </row>
    <row r="30" customFormat="false" ht="31.5" hidden="false" customHeight="true" outlineLevel="0" collapsed="false">
      <c r="A30" s="14" t="s">
        <v>131</v>
      </c>
      <c r="B30" s="15" t="s">
        <v>132</v>
      </c>
      <c r="C30" s="16"/>
    </row>
    <row r="32" customFormat="false" ht="24" hidden="false" customHeight="true" outlineLevel="0" collapsed="false">
      <c r="A32" s="17" t="s">
        <v>133</v>
      </c>
      <c r="B32" s="17"/>
      <c r="C32" s="17"/>
      <c r="D32" s="17"/>
      <c r="E32" s="17"/>
    </row>
    <row r="33" customFormat="false" ht="15" hidden="false" customHeight="false" outlineLevel="0" collapsed="false">
      <c r="A33" s="18" t="s">
        <v>134</v>
      </c>
      <c r="B33" s="18"/>
      <c r="C33" s="14" t="n">
        <f aca="false">IFERROR(AVERAGE(C9:C12),0)</f>
        <v>0</v>
      </c>
      <c r="D33" s="19" t="str">
        <f aca="false">IF(C33=0,"Sin datos",IF(C33&gt;=3.5,"Pain ALTO",IF(C33&gt;=2.5,"Pain MEDIO","Pain BAJO")))</f>
        <v> No data</v>
      </c>
      <c r="E33" s="19"/>
    </row>
    <row r="34" customFormat="false" ht="15" hidden="false" customHeight="false" outlineLevel="0" collapsed="false">
      <c r="A34" s="18" t="s">
        <v>135</v>
      </c>
      <c r="B34" s="18"/>
      <c r="C34" s="14" t="n">
        <f aca="false">IFERROR(AVERAGE(C15:C18,C21:C24,C27:C30),0)</f>
        <v>0</v>
      </c>
      <c r="D34" s="19" t="str">
        <f aca="false">IF(C34=0,"Sin datos",IF(C34&gt;=3.5,"Readiness ALTA",IF(C34&gt;=2.5,"Readiness MEDIA","Readiness BAJA")))</f>
        <v> No data</v>
      </c>
      <c r="E34" s="19"/>
    </row>
    <row r="36" customFormat="false" ht="24" hidden="false" customHeight="true" outlineLevel="0" collapsed="false">
      <c r="A36" s="20" t="s">
        <v>136</v>
      </c>
      <c r="B36" s="21" t="str">
        <f aca="false">IF(OR(C33=0,C34=0),"Completa primero el cuestionario",IF(AND(C33&gt;=3.5,C34&gt;=3.5),"QUICK WIN PRIORITARIO — Avanzar ahora",IF(AND(C33&gt;=3.5,C34&lt;3.5),"INVERTIR EN HABILITADORES — Pain alto pero falta readiness",IF(AND(C33&lt;3.5,C34&gt;=3.5),"OPORTUNIDAD SIN URGENCIA — Capacidad sí, pain no","AÚN NO ES MOMENTO — Construir capacidad antes"))))</f>
        <v> First, complete the questionnaire.</v>
      </c>
      <c r="C36" s="21"/>
      <c r="D36" s="21"/>
      <c r="E36" s="21"/>
    </row>
    <row r="39" customFormat="false" ht="15" hidden="false" customHeight="false" outlineLevel="0" collapsed="false">
      <c r="A39" s="22" t="s">
        <v>137</v>
      </c>
    </row>
    <row r="40" customFormat="false" ht="15" hidden="false" customHeight="false" outlineLevel="0" collapsed="false">
      <c r="A40" s="22" t="s">
        <v>138</v>
      </c>
      <c r="B40" s="23" t="n">
        <f aca="false">IFERROR(AVERAGE(C9:C12),0)</f>
        <v>0</v>
      </c>
    </row>
    <row r="41" customFormat="false" ht="15" hidden="false" customHeight="false" outlineLevel="0" collapsed="false">
      <c r="A41" s="22" t="s">
        <v>139</v>
      </c>
      <c r="B41" s="23" t="n">
        <f aca="false">IFERROR(AVERAGE(C15:C18),0)</f>
        <v>0</v>
      </c>
    </row>
    <row r="42" customFormat="false" ht="15" hidden="false" customHeight="false" outlineLevel="0" collapsed="false">
      <c r="A42" s="22" t="s">
        <v>140</v>
      </c>
      <c r="B42" s="23" t="n">
        <f aca="false">IFERROR(AVERAGE(C21:C24),0)</f>
        <v>0</v>
      </c>
    </row>
    <row r="43" customFormat="false" ht="15" hidden="false" customHeight="false" outlineLevel="0" collapsed="false">
      <c r="A43" s="22" t="s">
        <v>141</v>
      </c>
      <c r="B43" s="23" t="n">
        <f aca="false">IFERROR(AVERAGE(C27:C30),0)</f>
        <v>0</v>
      </c>
    </row>
    <row r="46" customFormat="false" ht="21.75" hidden="false" customHeight="true" outlineLevel="0" collapsed="false">
      <c r="A46" s="17" t="s">
        <v>142</v>
      </c>
      <c r="B46" s="17"/>
      <c r="C46" s="17"/>
      <c r="D46" s="17"/>
      <c r="E46" s="17"/>
    </row>
    <row r="47" customFormat="false" ht="26.85" hidden="false" customHeight="false" outlineLevel="0" collapsed="false">
      <c r="B47" s="14" t="s">
        <v>143</v>
      </c>
      <c r="C47" s="14" t="s">
        <v>144</v>
      </c>
    </row>
    <row r="48" customFormat="false" ht="52.2" hidden="false" customHeight="false" outlineLevel="0" collapsed="false">
      <c r="A48" s="3" t="s">
        <v>145</v>
      </c>
      <c r="B48" s="24" t="s">
        <v>146</v>
      </c>
      <c r="C48" s="3" t="s">
        <v>147</v>
      </c>
    </row>
    <row r="49" customFormat="false" ht="52.2" hidden="false" customHeight="false" outlineLevel="0" collapsed="false">
      <c r="A49" s="3" t="s">
        <v>148</v>
      </c>
      <c r="B49" s="24" t="s">
        <v>149</v>
      </c>
      <c r="C49" s="24" t="s">
        <v>150</v>
      </c>
    </row>
  </sheetData>
  <mergeCells count="14">
    <mergeCell ref="A1:E1"/>
    <mergeCell ref="A2:E2"/>
    <mergeCell ref="B4:E4"/>
    <mergeCell ref="A8:E8"/>
    <mergeCell ref="A14:E14"/>
    <mergeCell ref="A20:E20"/>
    <mergeCell ref="A26:E26"/>
    <mergeCell ref="A32:E32"/>
    <mergeCell ref="A33:B33"/>
    <mergeCell ref="D33:E33"/>
    <mergeCell ref="A34:B34"/>
    <mergeCell ref="D34:E34"/>
    <mergeCell ref="B36:E36"/>
    <mergeCell ref="A46:E46"/>
  </mergeCells>
  <dataValidations count="1">
    <dataValidation allowBlank="true" errorStyle="stop" operator="between" showDropDown="false" showErrorMessage="false" showInputMessage="false" sqref="C9:C12 C15:C18 C21:C24 C27:C3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4" min="2" style="0" width="28"/>
  </cols>
  <sheetData>
    <row r="1" customFormat="false" ht="27.75" hidden="false" customHeight="true" outlineLevel="0" collapsed="false">
      <c r="A1" s="1" t="s">
        <v>151</v>
      </c>
      <c r="B1" s="1"/>
      <c r="C1" s="1"/>
      <c r="D1" s="1"/>
    </row>
    <row r="2" customFormat="false" ht="30" hidden="false" customHeight="true" outlineLevel="0" collapsed="false">
      <c r="A2" s="2" t="s">
        <v>152</v>
      </c>
      <c r="B2" s="2"/>
      <c r="C2" s="2"/>
      <c r="D2" s="2"/>
    </row>
    <row r="4" customFormat="false" ht="21.75" hidden="false" customHeight="true" outlineLevel="0" collapsed="false">
      <c r="A4" s="4" t="s">
        <v>153</v>
      </c>
      <c r="B4" s="4"/>
      <c r="C4" s="4"/>
      <c r="D4" s="4"/>
    </row>
    <row r="5" customFormat="false" ht="15" hidden="false" customHeight="true" outlineLevel="0" collapsed="false">
      <c r="A5" s="25" t="s">
        <v>154</v>
      </c>
      <c r="B5" s="25"/>
      <c r="C5" s="25"/>
      <c r="D5" s="25"/>
    </row>
    <row r="6" customFormat="false" ht="36" hidden="false" customHeight="true" outlineLevel="0" collapsed="false">
      <c r="A6" s="26" t="s">
        <v>155</v>
      </c>
      <c r="B6" s="26"/>
      <c r="C6" s="26"/>
      <c r="D6" s="26"/>
    </row>
    <row r="7" customFormat="false" ht="21.75" hidden="false" customHeight="true" outlineLevel="0" collapsed="false">
      <c r="A7" s="4" t="s">
        <v>156</v>
      </c>
      <c r="B7" s="4"/>
      <c r="C7" s="4"/>
      <c r="D7" s="4"/>
    </row>
    <row r="8" customFormat="false" ht="15" hidden="false" customHeight="true" outlineLevel="0" collapsed="false">
      <c r="A8" s="25" t="s">
        <v>157</v>
      </c>
      <c r="B8" s="25"/>
      <c r="C8" s="25"/>
      <c r="D8" s="25"/>
    </row>
    <row r="9" customFormat="false" ht="36" hidden="false" customHeight="true" outlineLevel="0" collapsed="false">
      <c r="A9" s="26" t="s">
        <v>158</v>
      </c>
      <c r="B9" s="26"/>
      <c r="C9" s="26"/>
      <c r="D9" s="26"/>
    </row>
    <row r="10" customFormat="false" ht="21.75" hidden="false" customHeight="true" outlineLevel="0" collapsed="false">
      <c r="A10" s="4" t="s">
        <v>159</v>
      </c>
      <c r="B10" s="4"/>
      <c r="C10" s="4"/>
      <c r="D10" s="4"/>
    </row>
    <row r="11" customFormat="false" ht="15" hidden="false" customHeight="true" outlineLevel="0" collapsed="false">
      <c r="A11" s="25" t="s">
        <v>160</v>
      </c>
      <c r="B11" s="25"/>
      <c r="C11" s="25"/>
      <c r="D11" s="25"/>
    </row>
    <row r="12" customFormat="false" ht="36" hidden="false" customHeight="true" outlineLevel="0" collapsed="false">
      <c r="A12" s="26" t="s">
        <v>161</v>
      </c>
      <c r="B12" s="26"/>
      <c r="C12" s="26"/>
      <c r="D12" s="26"/>
    </row>
    <row r="13" customFormat="false" ht="21.75" hidden="false" customHeight="true" outlineLevel="0" collapsed="false">
      <c r="A13" s="4" t="s">
        <v>162</v>
      </c>
      <c r="B13" s="4"/>
      <c r="C13" s="4"/>
      <c r="D13" s="4"/>
    </row>
    <row r="14" customFormat="false" ht="15" hidden="false" customHeight="true" outlineLevel="0" collapsed="false">
      <c r="A14" s="25" t="s">
        <v>163</v>
      </c>
      <c r="B14" s="25"/>
      <c r="C14" s="25"/>
      <c r="D14" s="25"/>
    </row>
    <row r="15" customFormat="false" ht="36" hidden="false" customHeight="true" outlineLevel="0" collapsed="false">
      <c r="A15" s="26" t="s">
        <v>164</v>
      </c>
      <c r="B15" s="26"/>
      <c r="C15" s="26"/>
      <c r="D15" s="26"/>
    </row>
    <row r="16" customFormat="false" ht="21.75" hidden="false" customHeight="true" outlineLevel="0" collapsed="false">
      <c r="A16" s="4" t="s">
        <v>165</v>
      </c>
      <c r="B16" s="4"/>
      <c r="C16" s="4"/>
      <c r="D16" s="4"/>
    </row>
    <row r="17" customFormat="false" ht="15" hidden="false" customHeight="true" outlineLevel="0" collapsed="false">
      <c r="A17" s="25" t="s">
        <v>166</v>
      </c>
      <c r="B17" s="25"/>
      <c r="C17" s="25"/>
      <c r="D17" s="25"/>
    </row>
    <row r="18" customFormat="false" ht="36" hidden="false" customHeight="true" outlineLevel="0" collapsed="false">
      <c r="A18" s="26" t="s">
        <v>167</v>
      </c>
      <c r="B18" s="26"/>
      <c r="C18" s="26"/>
      <c r="D18" s="26"/>
    </row>
    <row r="19" customFormat="false" ht="21.75" hidden="false" customHeight="true" outlineLevel="0" collapsed="false">
      <c r="A19" s="4" t="s">
        <v>168</v>
      </c>
      <c r="B19" s="4"/>
      <c r="C19" s="4"/>
      <c r="D19" s="4"/>
    </row>
    <row r="20" customFormat="false" ht="15" hidden="false" customHeight="true" outlineLevel="0" collapsed="false">
      <c r="A20" s="25" t="s">
        <v>169</v>
      </c>
      <c r="B20" s="25"/>
      <c r="C20" s="25"/>
      <c r="D20" s="25"/>
    </row>
    <row r="21" customFormat="false" ht="36" hidden="false" customHeight="true" outlineLevel="0" collapsed="false">
      <c r="A21" s="26" t="s">
        <v>170</v>
      </c>
      <c r="B21" s="26"/>
      <c r="C21" s="26"/>
      <c r="D21" s="26"/>
    </row>
    <row r="22" customFormat="false" ht="21.75" hidden="false" customHeight="true" outlineLevel="0" collapsed="false">
      <c r="A22" s="4" t="s">
        <v>171</v>
      </c>
      <c r="B22" s="4"/>
      <c r="C22" s="4"/>
      <c r="D22" s="4"/>
    </row>
    <row r="23" customFormat="false" ht="15" hidden="false" customHeight="true" outlineLevel="0" collapsed="false">
      <c r="A23" s="25" t="s">
        <v>172</v>
      </c>
      <c r="B23" s="25"/>
      <c r="C23" s="25"/>
      <c r="D23" s="25"/>
    </row>
    <row r="24" customFormat="false" ht="36" hidden="false" customHeight="true" outlineLevel="0" collapsed="false">
      <c r="A24" s="26" t="s">
        <v>173</v>
      </c>
      <c r="B24" s="26"/>
      <c r="C24" s="26"/>
      <c r="D24" s="26"/>
    </row>
    <row r="25" customFormat="false" ht="21.75" hidden="false" customHeight="true" outlineLevel="0" collapsed="false">
      <c r="A25" s="4" t="s">
        <v>174</v>
      </c>
      <c r="B25" s="4"/>
      <c r="C25" s="4"/>
      <c r="D25" s="4"/>
    </row>
    <row r="26" customFormat="false" ht="15" hidden="false" customHeight="true" outlineLevel="0" collapsed="false">
      <c r="A26" s="25" t="s">
        <v>175</v>
      </c>
      <c r="B26" s="25"/>
      <c r="C26" s="25"/>
      <c r="D26" s="25"/>
    </row>
    <row r="27" customFormat="false" ht="36" hidden="false" customHeight="true" outlineLevel="0" collapsed="false">
      <c r="A27" s="26" t="s">
        <v>176</v>
      </c>
      <c r="B27" s="26"/>
      <c r="C27" s="26"/>
      <c r="D27" s="26"/>
    </row>
    <row r="28" customFormat="false" ht="21.75" hidden="false" customHeight="true" outlineLevel="0" collapsed="false">
      <c r="A28" s="4" t="s">
        <v>177</v>
      </c>
      <c r="B28" s="4"/>
      <c r="C28" s="4"/>
      <c r="D28" s="4"/>
    </row>
    <row r="29" customFormat="false" ht="15" hidden="false" customHeight="true" outlineLevel="0" collapsed="false">
      <c r="A29" s="25" t="s">
        <v>178</v>
      </c>
      <c r="B29" s="25"/>
      <c r="C29" s="25"/>
      <c r="D29" s="25"/>
    </row>
    <row r="30" customFormat="false" ht="36" hidden="false" customHeight="true" outlineLevel="0" collapsed="false">
      <c r="A30" s="26" t="s">
        <v>179</v>
      </c>
      <c r="B30" s="26"/>
      <c r="C30" s="26"/>
      <c r="D30" s="26"/>
    </row>
    <row r="31" customFormat="false" ht="21.75" hidden="false" customHeight="true" outlineLevel="0" collapsed="false">
      <c r="A31" s="4" t="s">
        <v>180</v>
      </c>
      <c r="B31" s="4"/>
      <c r="C31" s="4"/>
      <c r="D31" s="4"/>
    </row>
    <row r="32" customFormat="false" ht="15" hidden="false" customHeight="true" outlineLevel="0" collapsed="false">
      <c r="A32" s="25" t="s">
        <v>181</v>
      </c>
      <c r="B32" s="25"/>
      <c r="C32" s="25"/>
      <c r="D32" s="25"/>
    </row>
    <row r="33" customFormat="false" ht="36" hidden="false" customHeight="true" outlineLevel="0" collapsed="false">
      <c r="A33" s="26" t="s">
        <v>182</v>
      </c>
      <c r="B33" s="26"/>
      <c r="C33" s="26"/>
      <c r="D33" s="26"/>
    </row>
    <row r="35" customFormat="false" ht="21.75" hidden="false" customHeight="true" outlineLevel="0" collapsed="false">
      <c r="A35" s="17" t="s">
        <v>183</v>
      </c>
      <c r="B35" s="17"/>
      <c r="C35" s="17"/>
      <c r="D35" s="17"/>
    </row>
    <row r="36" customFormat="false" ht="36" hidden="false" customHeight="true" outlineLevel="0" collapsed="false">
      <c r="A36" s="27" t="s">
        <v>184</v>
      </c>
      <c r="B36" s="27"/>
      <c r="C36" s="27"/>
      <c r="D36" s="27"/>
    </row>
  </sheetData>
  <mergeCells count="34">
    <mergeCell ref="A1:D1"/>
    <mergeCell ref="A2:D2"/>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5:D35"/>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0"/>
    <col collapsed="false" customWidth="true" hidden="false" outlineLevel="0" max="2" min="2" style="0" width="20"/>
    <col collapsed="false" customWidth="true" hidden="false" outlineLevel="0" max="3" min="3" style="0" width="38"/>
    <col collapsed="false" customWidth="true" hidden="false" outlineLevel="0" max="4" min="4" style="0" width="4"/>
  </cols>
  <sheetData>
    <row r="1" customFormat="false" ht="27.75" hidden="false" customHeight="true" outlineLevel="0" collapsed="false">
      <c r="A1" s="1" t="s">
        <v>185</v>
      </c>
      <c r="B1" s="1"/>
      <c r="C1" s="1"/>
      <c r="D1" s="1"/>
    </row>
    <row r="2" customFormat="false" ht="30" hidden="false" customHeight="true" outlineLevel="0" collapsed="false">
      <c r="A2" s="2" t="s">
        <v>186</v>
      </c>
      <c r="B2" s="2"/>
      <c r="C2" s="2"/>
      <c r="D2" s="2"/>
    </row>
    <row r="4" customFormat="false" ht="24" hidden="false" customHeight="true" outlineLevel="0" collapsed="false">
      <c r="A4" s="3" t="s">
        <v>187</v>
      </c>
      <c r="B4" s="3" t="s">
        <v>188</v>
      </c>
      <c r="C4" s="3" t="s">
        <v>189</v>
      </c>
    </row>
    <row r="5" customFormat="false" ht="21.75" hidden="false" customHeight="true" outlineLevel="0" collapsed="false">
      <c r="A5" s="4" t="s">
        <v>190</v>
      </c>
      <c r="B5" s="4"/>
      <c r="C5" s="4"/>
      <c r="D5" s="28"/>
    </row>
    <row r="6" customFormat="false" ht="27.75" hidden="false" customHeight="true" outlineLevel="0" collapsed="false">
      <c r="A6" s="29" t="s">
        <v>191</v>
      </c>
      <c r="B6" s="16"/>
      <c r="C6" s="29"/>
    </row>
    <row r="7" customFormat="false" ht="27.75" hidden="false" customHeight="true" outlineLevel="0" collapsed="false">
      <c r="A7" s="29" t="s">
        <v>192</v>
      </c>
      <c r="B7" s="16"/>
      <c r="C7" s="29"/>
    </row>
    <row r="8" customFormat="false" ht="27.75" hidden="false" customHeight="true" outlineLevel="0" collapsed="false">
      <c r="A8" s="29" t="s">
        <v>193</v>
      </c>
      <c r="B8" s="16"/>
      <c r="C8" s="29"/>
    </row>
    <row r="9" customFormat="false" ht="27.75" hidden="false" customHeight="true" outlineLevel="0" collapsed="false">
      <c r="A9" s="29" t="s">
        <v>194</v>
      </c>
      <c r="B9" s="16"/>
      <c r="C9" s="29"/>
    </row>
    <row r="10" customFormat="false" ht="21.75" hidden="false" customHeight="true" outlineLevel="0" collapsed="false">
      <c r="A10" s="4" t="s">
        <v>195</v>
      </c>
      <c r="B10" s="4"/>
      <c r="C10" s="4"/>
      <c r="D10" s="28"/>
    </row>
    <row r="11" customFormat="false" ht="27.75" hidden="false" customHeight="true" outlineLevel="0" collapsed="false">
      <c r="A11" s="29" t="s">
        <v>196</v>
      </c>
      <c r="B11" s="16"/>
      <c r="C11" s="29"/>
    </row>
    <row r="12" customFormat="false" ht="27.75" hidden="false" customHeight="true" outlineLevel="0" collapsed="false">
      <c r="A12" s="29" t="s">
        <v>197</v>
      </c>
      <c r="B12" s="16"/>
      <c r="C12" s="29"/>
    </row>
    <row r="13" customFormat="false" ht="27.75" hidden="false" customHeight="true" outlineLevel="0" collapsed="false">
      <c r="A13" s="29" t="s">
        <v>198</v>
      </c>
      <c r="B13" s="16"/>
      <c r="C13" s="29"/>
    </row>
    <row r="14" customFormat="false" ht="27.75" hidden="false" customHeight="true" outlineLevel="0" collapsed="false">
      <c r="A14" s="29" t="s">
        <v>199</v>
      </c>
      <c r="B14" s="16"/>
      <c r="C14" s="29"/>
    </row>
    <row r="15" customFormat="false" ht="21.75" hidden="false" customHeight="true" outlineLevel="0" collapsed="false">
      <c r="A15" s="4" t="s">
        <v>200</v>
      </c>
      <c r="B15" s="4"/>
      <c r="C15" s="4"/>
      <c r="D15" s="28"/>
    </row>
    <row r="16" customFormat="false" ht="27.75" hidden="false" customHeight="true" outlineLevel="0" collapsed="false">
      <c r="A16" s="29" t="s">
        <v>201</v>
      </c>
      <c r="B16" s="16"/>
      <c r="C16" s="29"/>
    </row>
    <row r="17" customFormat="false" ht="27.75" hidden="false" customHeight="true" outlineLevel="0" collapsed="false">
      <c r="A17" s="29" t="s">
        <v>202</v>
      </c>
      <c r="B17" s="16"/>
      <c r="C17" s="29"/>
    </row>
    <row r="18" customFormat="false" ht="27.75" hidden="false" customHeight="true" outlineLevel="0" collapsed="false">
      <c r="A18" s="29" t="s">
        <v>203</v>
      </c>
      <c r="B18" s="16"/>
      <c r="C18" s="29"/>
    </row>
    <row r="19" customFormat="false" ht="27.75" hidden="false" customHeight="true" outlineLevel="0" collapsed="false">
      <c r="A19" s="29" t="s">
        <v>204</v>
      </c>
      <c r="B19" s="16"/>
      <c r="C19" s="29"/>
    </row>
    <row r="20" customFormat="false" ht="21.75" hidden="false" customHeight="true" outlineLevel="0" collapsed="false">
      <c r="A20" s="4" t="s">
        <v>205</v>
      </c>
      <c r="B20" s="4"/>
      <c r="C20" s="4"/>
      <c r="D20" s="28"/>
    </row>
    <row r="21" customFormat="false" ht="27.75" hidden="false" customHeight="true" outlineLevel="0" collapsed="false">
      <c r="A21" s="29" t="s">
        <v>206</v>
      </c>
      <c r="B21" s="16"/>
      <c r="C21" s="29"/>
    </row>
    <row r="22" customFormat="false" ht="27.75" hidden="false" customHeight="true" outlineLevel="0" collapsed="false">
      <c r="A22" s="29" t="s">
        <v>207</v>
      </c>
      <c r="B22" s="16"/>
      <c r="C22" s="29"/>
    </row>
    <row r="23" customFormat="false" ht="27.75" hidden="false" customHeight="true" outlineLevel="0" collapsed="false">
      <c r="A23" s="29" t="s">
        <v>208</v>
      </c>
      <c r="B23" s="16"/>
      <c r="C23" s="29"/>
    </row>
    <row r="24" customFormat="false" ht="27.75" hidden="false" customHeight="true" outlineLevel="0" collapsed="false">
      <c r="A24" s="29" t="s">
        <v>209</v>
      </c>
      <c r="B24" s="16"/>
      <c r="C24" s="29"/>
    </row>
    <row r="25" customFormat="false" ht="21.75" hidden="false" customHeight="true" outlineLevel="0" collapsed="false">
      <c r="A25" s="4" t="s">
        <v>210</v>
      </c>
      <c r="B25" s="4"/>
      <c r="C25" s="4"/>
      <c r="D25" s="28"/>
    </row>
    <row r="26" customFormat="false" ht="27.75" hidden="false" customHeight="true" outlineLevel="0" collapsed="false">
      <c r="A26" s="29" t="s">
        <v>211</v>
      </c>
      <c r="B26" s="16"/>
      <c r="C26" s="29"/>
    </row>
    <row r="27" customFormat="false" ht="27.75" hidden="false" customHeight="true" outlineLevel="0" collapsed="false">
      <c r="A27" s="29" t="s">
        <v>212</v>
      </c>
      <c r="B27" s="16"/>
      <c r="C27" s="29"/>
    </row>
    <row r="28" customFormat="false" ht="27.75" hidden="false" customHeight="true" outlineLevel="0" collapsed="false">
      <c r="A28" s="29" t="s">
        <v>213</v>
      </c>
      <c r="B28" s="16"/>
      <c r="C28" s="29"/>
    </row>
    <row r="29" customFormat="false" ht="27.75" hidden="false" customHeight="true" outlineLevel="0" collapsed="false">
      <c r="A29" s="29" t="s">
        <v>214</v>
      </c>
      <c r="B29" s="16"/>
      <c r="C29" s="29"/>
    </row>
    <row r="31" customFormat="false" ht="24" hidden="false" customHeight="true" outlineLevel="0" collapsed="false">
      <c r="A31" s="17" t="s">
        <v>215</v>
      </c>
      <c r="B31" s="17"/>
      <c r="C31" s="17"/>
      <c r="D31" s="28"/>
    </row>
    <row r="32" customFormat="false" ht="15" hidden="false" customHeight="false" outlineLevel="0" collapsed="false">
      <c r="A32" s="11" t="s">
        <v>216</v>
      </c>
      <c r="B32" s="14" t="n">
        <f aca="false">COUNTIF(B6:B9,"Sí")+COUNTIF(B11:B14,"Sí")+COUNTIF(B16:B19,"Sí")+COUNTIF(B21:B24,"Sí")+COUNTIF(B26:B29,"Sí")</f>
        <v>0</v>
      </c>
    </row>
    <row r="33" customFormat="false" ht="15" hidden="false" customHeight="false" outlineLevel="0" collapsed="false">
      <c r="A33" s="11" t="s">
        <v>217</v>
      </c>
      <c r="B33" s="14" t="n">
        <f aca="false">COUNTIF(B6:B9,"Parcial")+COUNTIF(B11:B14,"Parcial")+COUNTIF(B16:B19,"Parcial")+COUNTIF(B21:B24,"Parcial")+COUNTIF(B26:B29,"Parcial")</f>
        <v>0</v>
      </c>
    </row>
    <row r="34" customFormat="false" ht="15" hidden="false" customHeight="false" outlineLevel="0" collapsed="false">
      <c r="A34" s="11" t="s">
        <v>218</v>
      </c>
      <c r="B34" s="14" t="n">
        <f aca="false">COUNTIF(B6:B9,"No")+COUNTIF(B11:B14,"No")+COUNTIF(B16:B19,"No")+COUNTIF(B21:B24,"No")+COUNTIF(B26:B29,"No")</f>
        <v>0</v>
      </c>
    </row>
    <row r="35" customFormat="false" ht="15" hidden="false" customHeight="false" outlineLevel="0" collapsed="false">
      <c r="A35" s="11" t="s">
        <v>219</v>
      </c>
      <c r="B35" s="14" t="n">
        <f aca="false">COUNTIF(B6:B9,"No aplica")+COUNTIF(B11:B14,"No aplica")+COUNTIF(B16:B19,"No aplica")+COUNTIF(B21:B24,"No aplica")+COUNTIF(B26:B29,"No aplica")</f>
        <v>0</v>
      </c>
    </row>
    <row r="37" customFormat="false" ht="16.15" hidden="false" customHeight="false" outlineLevel="0" collapsed="false">
      <c r="A37" s="20" t="s">
        <v>220</v>
      </c>
      <c r="B37" s="30" t="n">
        <f aca="false">IFERROR(((COUNTIF(B6:B9,"Sí")+COUNTIF(B11:B14,"Sí")+COUNTIF(B16:B19,"Sí")+COUNTIF(B21:B24,"Sí")+COUNTIF(B26:B29,"Sí"))+(COUNTIF(B6:B9,"Parcial")+COUNTIF(B11:B14,"Parcial")+COUNTIF(B16:B19,"Parcial")+COUNTIF(B21:B24,"Parcial")+COUNTIF(B26:B29,"Parcial"))*0.5)/((COUNTIF(B6:B9,"Sí")+COUNTIF(B11:B14,"Sí")+COUNTIF(B16:B19,"Sí")+COUNTIF(B21:B24,"Sí")+COUNTIF(B26:B29,"Sí"))+(COUNTIF(B6:B9,"Parcial")+COUNTIF(B11:B14,"Parcial")+COUNTIF(B16:B19,"Parcial")+COUNTIF(B21:B24,"Parcial")+COUNTIF(B26:B29,"Parcial"))+(COUNTIF(B6:B9,"No")+COUNTIF(B11:B14,"No")+COUNTIF(B16:B19,"No")+COUNTIF(B21:B24,"No")+COUNTIF(B26:B29,"No"))),0)</f>
        <v>0</v>
      </c>
    </row>
    <row r="39" customFormat="false" ht="36" hidden="false" customHeight="true" outlineLevel="0" collapsed="false">
      <c r="A39" s="20" t="s">
        <v>136</v>
      </c>
      <c r="B39" s="21" t="str">
        <f aca="false">IF(((COUNTIF(B6:B9,"Sí")+COUNTIF(B11:B14,"Sí")+COUNTIF(B16:B19,"Sí")+COUNTIF(B21:B24,"Sí")+COUNTIF(B26:B29,"Sí"))+(COUNTIF(B6:B9,"Parcial")+COUNTIF(B11:B14,"Parcial")+COUNTIF(B16:B19,"Parcial")+COUNTIF(B21:B24,"Parcial")+COUNTIF(B26:B29,"Parcial"))+(COUNTIF(B6:B9,"No")+COUNTIF(B11:B14,"No")+COUNTIF(B16:B19,"No")+COUNTIF(B21:B24,"No")+COUNTIF(B26:B29,"No")))=0,"Completa los habilitadores",IF(B37&gt;=0.7,"READY — Avanzar a casos GenAI/ML con confianza",IF(B37&gt;=0.4,"PARCIALMENTE READY — Empezar por Quick Wins de GenAI","NO READY — Invertir 3-6 meses en habilitadores antes de IA")))</f>
        <v> Complete the enablers</v>
      </c>
      <c r="C39" s="21"/>
      <c r="D39" s="21"/>
    </row>
  </sheetData>
  <mergeCells count="9">
    <mergeCell ref="A1:D1"/>
    <mergeCell ref="A2:D2"/>
    <mergeCell ref="A5:C5"/>
    <mergeCell ref="A10:C10"/>
    <mergeCell ref="A15:C15"/>
    <mergeCell ref="A20:C20"/>
    <mergeCell ref="A25:C25"/>
    <mergeCell ref="A31:C31"/>
    <mergeCell ref="B39:D39"/>
  </mergeCells>
  <dataValidations count="1">
    <dataValidation allowBlank="true" errorStyle="stop" operator="between" showDropDown="false" showErrorMessage="false" showInputMessage="false" sqref="B6:B9 B11:B14 B16:B19 B21:B24 B26:B29"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36"/>
    <col collapsed="false" customWidth="true" hidden="false" outlineLevel="0" max="4" min="4" style="0" width="14"/>
    <col collapsed="false" customWidth="true" hidden="false" outlineLevel="0" max="6" min="5" style="0" width="16"/>
    <col collapsed="false" customWidth="true" hidden="false" outlineLevel="0" max="8" min="7" style="0" width="14"/>
    <col collapsed="false" customWidth="true" hidden="false" outlineLevel="0" max="9" min="9" style="0" width="30"/>
  </cols>
  <sheetData>
    <row r="1" customFormat="false" ht="27.75" hidden="false" customHeight="true" outlineLevel="0" collapsed="false">
      <c r="A1" s="1" t="s">
        <v>221</v>
      </c>
      <c r="B1" s="1"/>
      <c r="C1" s="1"/>
      <c r="D1" s="1"/>
      <c r="E1" s="1"/>
      <c r="F1" s="1"/>
      <c r="G1" s="1"/>
      <c r="H1" s="1"/>
      <c r="I1" s="1"/>
    </row>
    <row r="2" customFormat="false" ht="30" hidden="false" customHeight="true" outlineLevel="0" collapsed="false">
      <c r="A2" s="2" t="s">
        <v>222</v>
      </c>
      <c r="B2" s="2"/>
      <c r="C2" s="2"/>
      <c r="D2" s="2"/>
      <c r="E2" s="2"/>
      <c r="F2" s="2"/>
      <c r="G2" s="2"/>
      <c r="H2" s="2"/>
      <c r="I2" s="2"/>
    </row>
    <row r="4" customFormat="false" ht="31.5" hidden="false" customHeight="true" outlineLevel="0" collapsed="false">
      <c r="A4" s="3" t="s">
        <v>2</v>
      </c>
      <c r="B4" s="3" t="s">
        <v>3</v>
      </c>
      <c r="C4" s="3" t="s">
        <v>223</v>
      </c>
      <c r="D4" s="3" t="s">
        <v>224</v>
      </c>
      <c r="E4" s="3" t="s">
        <v>225</v>
      </c>
      <c r="F4" s="3" t="s">
        <v>226</v>
      </c>
      <c r="G4" s="3" t="s">
        <v>227</v>
      </c>
      <c r="H4" s="3" t="s">
        <v>228</v>
      </c>
      <c r="I4" s="3" t="s">
        <v>12</v>
      </c>
    </row>
    <row r="5" customFormat="false" ht="30" hidden="false" customHeight="true" outlineLevel="0" collapsed="false">
      <c r="A5" s="16" t="n">
        <v>1</v>
      </c>
      <c r="B5" s="6" t="s">
        <v>229</v>
      </c>
      <c r="C5" s="6" t="s">
        <v>230</v>
      </c>
      <c r="D5" s="5" t="s">
        <v>231</v>
      </c>
      <c r="E5" s="16"/>
      <c r="F5" s="16"/>
      <c r="G5" s="31" t="str">
        <f aca="false">IFERROR((E5-F5)/E5,"")</f>
        <v/>
      </c>
      <c r="H5" s="16"/>
      <c r="I5" s="6"/>
    </row>
    <row r="6" customFormat="false" ht="30" hidden="false" customHeight="true" outlineLevel="0" collapsed="false">
      <c r="A6" s="16" t="n">
        <v>2</v>
      </c>
      <c r="B6" s="6" t="s">
        <v>232</v>
      </c>
      <c r="C6" s="6" t="s">
        <v>233</v>
      </c>
      <c r="D6" s="5" t="s">
        <v>234</v>
      </c>
      <c r="E6" s="16"/>
      <c r="F6" s="16"/>
      <c r="G6" s="31" t="str">
        <f aca="false">IFERROR((F6-E6)/E6,"")</f>
        <v/>
      </c>
      <c r="H6" s="16"/>
      <c r="I6" s="6"/>
    </row>
    <row r="7" customFormat="false" ht="30" hidden="false" customHeight="true" outlineLevel="0" collapsed="false">
      <c r="A7" s="16" t="n">
        <v>3</v>
      </c>
      <c r="B7" s="6" t="s">
        <v>235</v>
      </c>
      <c r="C7" s="6" t="s">
        <v>236</v>
      </c>
      <c r="D7" s="5" t="s">
        <v>234</v>
      </c>
      <c r="E7" s="16"/>
      <c r="F7" s="16"/>
      <c r="G7" s="31" t="str">
        <f aca="false">IFERROR((E7-F7)/E7,"")</f>
        <v/>
      </c>
      <c r="H7" s="16"/>
      <c r="I7" s="6"/>
    </row>
    <row r="8" customFormat="false" ht="30" hidden="false" customHeight="true" outlineLevel="0" collapsed="false">
      <c r="A8" s="16" t="n">
        <v>4</v>
      </c>
      <c r="B8" s="6" t="s">
        <v>33</v>
      </c>
      <c r="C8" s="6" t="s">
        <v>237</v>
      </c>
      <c r="D8" s="5" t="s">
        <v>234</v>
      </c>
      <c r="E8" s="16"/>
      <c r="F8" s="16"/>
      <c r="G8" s="31" t="str">
        <f aca="false">IFERROR((F8-E8)/E8,"")</f>
        <v/>
      </c>
      <c r="H8" s="16"/>
      <c r="I8" s="6"/>
    </row>
    <row r="9" customFormat="false" ht="30" hidden="false" customHeight="true" outlineLevel="0" collapsed="false">
      <c r="A9" s="16" t="n">
        <v>5</v>
      </c>
      <c r="B9" s="6" t="s">
        <v>39</v>
      </c>
      <c r="C9" s="6" t="s">
        <v>238</v>
      </c>
      <c r="D9" s="5" t="s">
        <v>234</v>
      </c>
      <c r="E9" s="16"/>
      <c r="F9" s="16"/>
      <c r="G9" s="31" t="str">
        <f aca="false">IFERROR((E9-F9)/E9,"")</f>
        <v/>
      </c>
      <c r="H9" s="16"/>
      <c r="I9" s="6"/>
    </row>
    <row r="10" customFormat="false" ht="30" hidden="false" customHeight="true" outlineLevel="0" collapsed="false">
      <c r="A10" s="16" t="n">
        <v>6</v>
      </c>
      <c r="B10" s="6" t="s">
        <v>239</v>
      </c>
      <c r="C10" s="6" t="s">
        <v>240</v>
      </c>
      <c r="D10" s="5" t="s">
        <v>231</v>
      </c>
      <c r="E10" s="16"/>
      <c r="F10" s="16"/>
      <c r="G10" s="31" t="str">
        <f aca="false">IFERROR((E10-F10)/E10,"")</f>
        <v/>
      </c>
      <c r="H10" s="16"/>
      <c r="I10" s="6"/>
    </row>
    <row r="11" customFormat="false" ht="30" hidden="false" customHeight="true" outlineLevel="0" collapsed="false">
      <c r="A11" s="16" t="n">
        <v>7</v>
      </c>
      <c r="B11" s="6" t="s">
        <v>241</v>
      </c>
      <c r="C11" s="6" t="s">
        <v>242</v>
      </c>
      <c r="D11" s="5" t="s">
        <v>234</v>
      </c>
      <c r="E11" s="16"/>
      <c r="F11" s="16"/>
      <c r="G11" s="31" t="str">
        <f aca="false">IFERROR((F11-E11)/E11,"")</f>
        <v/>
      </c>
      <c r="H11" s="16"/>
      <c r="I11" s="6"/>
    </row>
    <row r="12" customFormat="false" ht="30" hidden="false" customHeight="true" outlineLevel="0" collapsed="false">
      <c r="A12" s="16" t="n">
        <v>8</v>
      </c>
      <c r="B12" s="6" t="s">
        <v>243</v>
      </c>
      <c r="C12" s="6" t="s">
        <v>244</v>
      </c>
      <c r="D12" s="5" t="s">
        <v>231</v>
      </c>
      <c r="E12" s="16"/>
      <c r="F12" s="16"/>
      <c r="G12" s="31" t="str">
        <f aca="false">IFERROR((E12-F12)/E12,"")</f>
        <v/>
      </c>
      <c r="H12" s="16"/>
      <c r="I12" s="6"/>
    </row>
    <row r="13" customFormat="false" ht="30" hidden="false" customHeight="true" outlineLevel="0" collapsed="false">
      <c r="A13" s="16" t="n">
        <v>9</v>
      </c>
      <c r="B13" s="6" t="s">
        <v>245</v>
      </c>
      <c r="C13" s="6" t="s">
        <v>246</v>
      </c>
      <c r="D13" s="5" t="s">
        <v>247</v>
      </c>
      <c r="E13" s="16"/>
      <c r="F13" s="16"/>
      <c r="G13" s="31" t="str">
        <f aca="false">IFERROR((E13-F13)/E13,"")</f>
        <v/>
      </c>
      <c r="H13" s="16"/>
      <c r="I13" s="6"/>
    </row>
    <row r="14" customFormat="false" ht="30" hidden="false" customHeight="true" outlineLevel="0" collapsed="false">
      <c r="A14" s="16" t="n">
        <v>10</v>
      </c>
      <c r="B14" s="6" t="s">
        <v>248</v>
      </c>
      <c r="C14" s="6" t="s">
        <v>249</v>
      </c>
      <c r="D14" s="5" t="s">
        <v>247</v>
      </c>
      <c r="E14" s="16"/>
      <c r="F14" s="16"/>
      <c r="G14" s="31" t="str">
        <f aca="false">IFERROR((E14-F14)/E14,"")</f>
        <v/>
      </c>
      <c r="H14" s="16"/>
      <c r="I14" s="6"/>
    </row>
    <row r="15" customFormat="false" ht="30" hidden="false" customHeight="true" outlineLevel="0" collapsed="false">
      <c r="A15" s="16" t="n">
        <v>11</v>
      </c>
      <c r="B15" s="6" t="s">
        <v>250</v>
      </c>
      <c r="C15" s="6" t="s">
        <v>251</v>
      </c>
      <c r="D15" s="5" t="s">
        <v>231</v>
      </c>
      <c r="E15" s="16"/>
      <c r="F15" s="16"/>
      <c r="G15" s="31" t="str">
        <f aca="false">IFERROR((E15-F15)/E15,"")</f>
        <v/>
      </c>
      <c r="H15" s="16"/>
      <c r="I15" s="6"/>
    </row>
    <row r="16" customFormat="false" ht="30" hidden="false" customHeight="true" outlineLevel="0" collapsed="false">
      <c r="A16" s="16" t="n">
        <v>12</v>
      </c>
      <c r="B16" s="6" t="s">
        <v>252</v>
      </c>
      <c r="C16" s="6" t="s">
        <v>253</v>
      </c>
      <c r="D16" s="5" t="s">
        <v>234</v>
      </c>
      <c r="E16" s="16"/>
      <c r="F16" s="16"/>
      <c r="G16" s="31" t="str">
        <f aca="false">IFERROR((F16-E16)/E16,"")</f>
        <v/>
      </c>
      <c r="H16" s="16"/>
      <c r="I16" s="6"/>
    </row>
    <row r="18" customFormat="false" ht="24" hidden="false" customHeight="true" outlineLevel="0" collapsed="false">
      <c r="A18" s="17" t="s">
        <v>254</v>
      </c>
      <c r="B18" s="17"/>
      <c r="C18" s="17"/>
      <c r="D18" s="17"/>
      <c r="E18" s="17"/>
      <c r="F18" s="17"/>
      <c r="G18" s="17"/>
      <c r="H18" s="17"/>
      <c r="I18" s="17"/>
    </row>
    <row r="19" customFormat="false" ht="19.5" hidden="false" customHeight="true" outlineLevel="0" collapsed="false">
      <c r="A19" s="21" t="s">
        <v>255</v>
      </c>
      <c r="B19" s="21"/>
      <c r="C19" s="21"/>
      <c r="D19" s="21"/>
      <c r="E19" s="14" t="n">
        <f aca="false">COUNT(E5:E16)</f>
        <v>0</v>
      </c>
    </row>
    <row r="20" customFormat="false" ht="19.5" hidden="false" customHeight="true" outlineLevel="0" collapsed="false">
      <c r="A20" s="21" t="s">
        <v>256</v>
      </c>
      <c r="B20" s="21"/>
      <c r="C20" s="21"/>
      <c r="D20" s="21"/>
      <c r="E20" s="14" t="n">
        <f aca="false">COUNT(F5:F16)</f>
        <v>0</v>
      </c>
    </row>
    <row r="21" customFormat="false" ht="19.5" hidden="false" customHeight="true" outlineLevel="0" collapsed="false">
      <c r="A21" s="21" t="s">
        <v>257</v>
      </c>
      <c r="B21" s="21"/>
      <c r="C21" s="21"/>
      <c r="D21" s="21"/>
      <c r="E21" s="32" t="str">
        <f aca="false">IFERROR(AVERAGE(G5:G16),"-")</f>
        <v>-</v>
      </c>
    </row>
    <row r="22" customFormat="false" ht="19.5" hidden="false" customHeight="true" outlineLevel="0" collapsed="false">
      <c r="A22" s="21" t="s">
        <v>258</v>
      </c>
      <c r="B22" s="21"/>
      <c r="C22" s="21"/>
      <c r="D22" s="21"/>
      <c r="E22" s="14" t="str">
        <f aca="false">IFERROR(AVERAGE(H5:H16),"-")</f>
        <v> -</v>
      </c>
    </row>
    <row r="24" customFormat="false" ht="36" hidden="false" customHeight="true" outlineLevel="0" collapsed="false">
      <c r="A24" s="33" t="s">
        <v>259</v>
      </c>
      <c r="B24" s="33"/>
      <c r="C24" s="33"/>
      <c r="D24" s="33"/>
      <c r="E24" s="33"/>
      <c r="F24" s="33"/>
      <c r="G24" s="33"/>
      <c r="H24" s="33"/>
      <c r="I24" s="33"/>
    </row>
  </sheetData>
  <mergeCells count="8">
    <mergeCell ref="A1:I1"/>
    <mergeCell ref="A2:I2"/>
    <mergeCell ref="A18:I18"/>
    <mergeCell ref="A19:D19"/>
    <mergeCell ref="A20:D20"/>
    <mergeCell ref="A21:D21"/>
    <mergeCell ref="A22:D22"/>
    <mergeCell ref="A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2026-05-04T12:27:35Z</dcterms:created>
  <dc:creator>openpyxl</dc:creator>
  <dc:description/>
  <dc:language>en-US</dc:language>
  <cp:lastModifiedBy/>
  <dcterms:modified xsi:type="dcterms:W3CDTF">2026-05-04T12:27:35Z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