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dor" sheetId="1" state="visible" r:id="rId3"/>
    <sheet name="Escenarios" sheetId="2" state="visible" r:id="rId4"/>
    <sheet name="Fact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<sst xmlns="http://schemas.openxmlformats.org/spreadsheetml/2006/main" count="133" uniqueCount="114">
  <si>
    <t xml:space="preserve">Estimador de Esfuerzo y Costo</t>
  </si>
  <si>
    <t xml:space="preserve">Diagnóstico estratégico de IA · Módulos 1 + 2 + 3 · Versión 1.0</t>
  </si>
  <si>
    <t xml:space="preserve">1. PARÁMETROS DEL CLIENTE</t>
  </si>
  <si>
    <t xml:space="preserve">Parámetro</t>
  </si>
  <si>
    <t xml:space="preserve">Selección</t>
  </si>
  <si>
    <t xml:space="preserve">Factor aplicado</t>
  </si>
  <si>
    <t xml:space="preserve">Tamaño del cliente:</t>
  </si>
  <si>
    <t xml:space="preserve">Mediana (200-2.000 colaboradores)</t>
  </si>
  <si>
    <t xml:space="preserve">Sector:</t>
  </si>
  <si>
    <t xml:space="preserve">Estándar / no regulado</t>
  </si>
  <si>
    <t xml:space="preserve">Madurez inicial (M1):</t>
  </si>
  <si>
    <t xml:space="preserve">Intermedia (2.5 - 3.4)</t>
  </si>
  <si>
    <t xml:space="preserve">Geografía:</t>
  </si>
  <si>
    <t xml:space="preserve">Single country</t>
  </si>
  <si>
    <t xml:space="preserve">Assessments previos:</t>
  </si>
  <si>
    <t xml:space="preserve">No existen</t>
  </si>
  <si>
    <t xml:space="preserve">Modo de engagement:</t>
  </si>
  <si>
    <t xml:space="preserve">Estándar (M1+M2+M3, 4 semanas)</t>
  </si>
  <si>
    <t xml:space="preserve">Cal. base</t>
  </si>
  <si>
    <t xml:space="preserve">semanas</t>
  </si>
  <si>
    <t xml:space="preserve">Factores por fase (modo):</t>
  </si>
  <si>
    <t xml:space="preserve">M1</t>
  </si>
  <si>
    <t xml:space="preserve">M2</t>
  </si>
  <si>
    <t xml:space="preserve">M3</t>
  </si>
  <si>
    <t xml:space="preserve">FACTOR DE CLIENTE (combinado):</t>
  </si>
  <si>
    <t xml:space="preserve">2. TARIFAS DEL EQUIPO (USD/día)</t>
  </si>
  <si>
    <t xml:space="preserve">Rol</t>
  </si>
  <si>
    <t xml:space="preserve">Tarifa USD/día</t>
  </si>
  <si>
    <t xml:space="preserve">Sénior / Partner</t>
  </si>
  <si>
    <t xml:space="preserve">Manager / Consultor sr.</t>
  </si>
  <si>
    <t xml:space="preserve">Analista / Consultor</t>
  </si>
  <si>
    <t xml:space="preserve">3. DESGLOSE POR FASE Y ROL</t>
  </si>
  <si>
    <t xml:space="preserve">Fase</t>
  </si>
  <si>
    <t xml:space="preserve">Sénior días</t>
  </si>
  <si>
    <t xml:space="preserve">Manager días</t>
  </si>
  <si>
    <t xml:space="preserve">Analista días</t>
  </si>
  <si>
    <t xml:space="preserve">Total días</t>
  </si>
  <si>
    <t xml:space="preserve">Costo (USD)</t>
  </si>
  <si>
    <t xml:space="preserve">Módulo 1 — Fundamentos</t>
  </si>
  <si>
    <t xml:space="preserve">Módulo 2 — Diagnóstico</t>
  </si>
  <si>
    <t xml:space="preserve">Módulo 3 — Portafolio</t>
  </si>
  <si>
    <t xml:space="preserve">TOTAL</t>
  </si>
  <si>
    <t xml:space="preserve">4. RESUMEN EJECUTIVO</t>
  </si>
  <si>
    <t xml:space="preserve">Total días-persona:</t>
  </si>
  <si>
    <t xml:space="preserve">Total horas (8h/día):</t>
  </si>
  <si>
    <t xml:space="preserve">Calendario sugerido:</t>
  </si>
  <si>
    <t xml:space="preserve">INVERSIÓN ESTIMADA:</t>
  </si>
  <si>
    <t xml:space="preserve">5. DESGLOSE POR ROL</t>
  </si>
  <si>
    <t xml:space="preserve">Días totales</t>
  </si>
  <si>
    <t xml:space="preserve"> del esfuerzo</t>
  </si>
  <si>
    <t xml:space="preserve">Horas</t>
  </si>
  <si>
    <t xml:space="preserve">6. NOTAS Y SUPUESTOS</t>
  </si>
  <si>
    <t xml:space="preserve">• Las tarifas son referenciales para Latinoamérica medio-alto. Ajustar según geografía y estructura del consultor.</t>
  </si>
  <si>
    <t xml:space="preserve">• Los días base están calibrados sobre un cliente mediano típico (200-2.000 colaboradores) con madurez intermedia y operación nacional.</t>
  </si>
  <si>
    <t xml:space="preserve">• El cálculo asume un día-persona = 8 horas efectivas, descontando reuniones internas y tiempo no facturable.</t>
  </si>
  <si>
    <t xml:space="preserve">• Modo Lite: cubre solo Módulo 1 (assessment de madurez + visión estratégica). No incluye diagnóstico por área ni portafolio.</t>
  </si>
  <si>
    <t xml:space="preserve">• Modo Estándar: cubre M1 + M2 + M3 en 4 semanas calendario. Es el alcance recomendado para un primer engagement.</t>
  </si>
  <si>
    <t xml:space="preserve">• Modo Completo: extiende el estándar a 6 semanas calendario con 20% más esfuerzo, útil para clientes complejos.</t>
  </si>
  <si>
    <t xml:space="preserve">• Ajusta los inputs (celdas amarillas) y todas las salidas se recalculan automáticamente.</t>
  </si>
  <si>
    <t xml:space="preserve">• Honorarios no incluyen viáticos, gastos de viaje, IVA ni costos de plataforma. Suelen sumar 5-15% adicional.</t>
  </si>
  <si>
    <t xml:space="preserve">Comparación de escenarios</t>
  </si>
  <si>
    <t xml:space="preserve">Comparación lado a lado de los tres modos para un cliente típico (mediano, sector estándar, madurez intermedia)</t>
  </si>
  <si>
    <t xml:space="preserve">Concepto</t>
  </si>
  <si>
    <t xml:space="preserve">Lite</t>
  </si>
  <si>
    <t xml:space="preserve">Estándar</t>
  </si>
  <si>
    <t xml:space="preserve">Completo</t>
  </si>
  <si>
    <t xml:space="preserve">Calendario</t>
  </si>
  <si>
    <t xml:space="preserve"> semanas</t>
  </si>
  <si>
    <t xml:space="preserve"> semanas</t>
  </si>
  <si>
    <t xml:space="preserve">Alcance</t>
  </si>
  <si>
    <t xml:space="preserve">Solo M1</t>
  </si>
  <si>
    <t xml:space="preserve">M1 + M2 + M3</t>
  </si>
  <si>
    <t xml:space="preserve">M1 + M2 + M3 ampliado</t>
  </si>
  <si>
    <t xml:space="preserve">Días sénior</t>
  </si>
  <si>
    <t xml:space="preserve">Días manager</t>
  </si>
  <si>
    <t xml:space="preserve">Días analista</t>
  </si>
  <si>
    <t xml:space="preserve">Total días-persona</t>
  </si>
  <si>
    <t xml:space="preserve">Total horas</t>
  </si>
  <si>
    <t xml:space="preserve">Costo sénior (USD)</t>
  </si>
  <si>
    <t xml:space="preserve">Costo manager (USD)</t>
  </si>
  <si>
    <t xml:space="preserve">Costo analista (USD)</t>
  </si>
  <si>
    <t xml:space="preserve">INVERSIÓN TOTAL</t>
  </si>
  <si>
    <t xml:space="preserve">Nota: estos cálculos asumen tarifas y días base de la pestaña Estimador (cliente típico, sin factores de ajuste).</t>
  </si>
  <si>
    <t xml:space="preserve">Para una estimación parametrizada con factores de tu cliente, usa la pestaña Estimador.</t>
  </si>
  <si>
    <t xml:space="preserve">Tablas de factores de ajuste</t>
  </si>
  <si>
    <t xml:space="preserve">Tamaño del cliente</t>
  </si>
  <si>
    <t xml:space="preserve">Sector</t>
  </si>
  <si>
    <t xml:space="preserve">Pequeña (&lt;200 colaboradores)</t>
  </si>
  <si>
    <t xml:space="preserve">Regulado moderado</t>
  </si>
  <si>
    <t xml:space="preserve">Grande (2.000-10.000 colaboradores)</t>
  </si>
  <si>
    <t xml:space="preserve">Altamente regulado (banca/salud/sector público)</t>
  </si>
  <si>
    <t xml:space="preserve">Multinacional (&gt;10.000 colaboradores)</t>
  </si>
  <si>
    <t xml:space="preserve">Madurez inicial (M1 score promedio)</t>
  </si>
  <si>
    <t xml:space="preserve">Geografía</t>
  </si>
  <si>
    <t xml:space="preserve">Inicial (1.0 - 2.4)</t>
  </si>
  <si>
    <t xml:space="preserve">Multi-país (2-3 geografías)</t>
  </si>
  <si>
    <t xml:space="preserve">Madura (3.5 - 5.0)</t>
  </si>
  <si>
    <t xml:space="preserve">Multi-país (4+ geografías)</t>
  </si>
  <si>
    <t xml:space="preserve">Assessments previos del cliente</t>
  </si>
  <si>
    <t xml:space="preserve">Modo de engagement</t>
  </si>
  <si>
    <t xml:space="preserve">Modo</t>
  </si>
  <si>
    <t xml:space="preserve">Factor M1</t>
  </si>
  <si>
    <t xml:space="preserve">Factor M2</t>
  </si>
  <si>
    <t xml:space="preserve">Factor M3</t>
  </si>
  <si>
    <t xml:space="preserve">Calendario base (sem)</t>
  </si>
  <si>
    <t xml:space="preserve">Existen parciales</t>
  </si>
  <si>
    <t xml:space="preserve">Lite (solo M1, 4 semanas)</t>
  </si>
  <si>
    <t xml:space="preserve">Existen completos y vigentes</t>
  </si>
  <si>
    <t xml:space="preserve">Completo (extendido, 6 semanas)</t>
  </si>
  <si>
    <t xml:space="preserve">Días base por fase y rol (cliente típico modo estándar)</t>
  </si>
  <si>
    <t xml:space="preserve">Sénior</t>
  </si>
  <si>
    <t xml:space="preserve">Manager</t>
  </si>
  <si>
    <t xml:space="preserve">Analista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</si>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</sst>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\$#,##0"/>
    <numFmt numFmtId="168" formatCode="0.0"/>
    <numFmt numFmtId="169" formatCode="\$#,##0&quot; USD&quot;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2D2D2D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i val="true"/>
      <sz val="10"/>
      <color rgb="FF2D2D2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EF4"/>
        <bgColor rgb="FFE8F4E8"/>
      </patternFill>
    </fill>
    <fill>
      <patternFill patternType="solid">
        <fgColor rgb="FFFFF8DC"/>
        <bgColor rgb="FFE8F4E8"/>
      </patternFill>
    </fill>
    <fill>
      <patternFill patternType="solid">
        <fgColor rgb="FFE8F4E8"/>
        <bgColor rgb="FFE8EEF4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4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DC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5" customFormat="false" ht="16.15" hidden="false" customHeight="true" outlineLevel="0" collapsed="false">
      <c r="A5" s="4" t="s">
        <v>2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3</v>
      </c>
      <c r="B6" s="5" t="s">
        <v>4</v>
      </c>
      <c r="D6" s="5" t="s">
        <v>5</v>
      </c>
    </row>
    <row r="7" customFormat="false" ht="15" hidden="false" customHeight="true" outlineLevel="0" collapsed="false">
      <c r="A7" s="6" t="s">
        <v>6</v>
      </c>
      <c r="B7" s="7" t="s">
        <v>7</v>
      </c>
      <c r="C7" s="7"/>
      <c r="D7" s="8" t="n">
        <f aca="false">VLOOKUP(B7,Factores!A4:B7,2,FALSE())</f>
        <v>1</v>
      </c>
    </row>
    <row r="8" customFormat="false" ht="15" hidden="false" customHeight="true" outlineLevel="0" collapsed="false">
      <c r="A8" s="6" t="s">
        <v>8</v>
      </c>
      <c r="B8" s="7" t="s">
        <v>9</v>
      </c>
      <c r="C8" s="7"/>
      <c r="D8" s="8" t="n">
        <f aca="false">VLOOKUP(B8,Factores!D4:E6,2,FALSE())</f>
        <v>1</v>
      </c>
    </row>
    <row r="9" customFormat="false" ht="15" hidden="false" customHeight="true" outlineLevel="0" collapsed="false">
      <c r="A9" s="6" t="s">
        <v>10</v>
      </c>
      <c r="B9" s="7" t="s">
        <v>11</v>
      </c>
      <c r="C9" s="7"/>
      <c r="D9" s="8" t="n">
        <f aca="false">VLOOKUP(B9,Factores!A11:B13,2,FALSE())</f>
        <v>1</v>
      </c>
    </row>
    <row r="10" customFormat="false" ht="15" hidden="false" customHeight="true" outlineLevel="0" collapsed="false">
      <c r="A10" s="6" t="s">
        <v>12</v>
      </c>
      <c r="B10" s="7" t="s">
        <v>13</v>
      </c>
      <c r="C10" s="7"/>
      <c r="D10" s="8" t="n">
        <f aca="false">VLOOKUP(B10,Factores!D11:E13,2,FALSE())</f>
        <v>1</v>
      </c>
    </row>
    <row r="11" customFormat="false" ht="15" hidden="false" customHeight="true" outlineLevel="0" collapsed="false">
      <c r="A11" s="6" t="s">
        <v>14</v>
      </c>
      <c r="B11" s="7" t="s">
        <v>15</v>
      </c>
      <c r="C11" s="7"/>
      <c r="D11" s="8" t="n">
        <f aca="false">VLOOKUP(B11,Factores!A17:B19,2,FALSE())</f>
        <v>1</v>
      </c>
    </row>
    <row r="13" customFormat="false" ht="15" hidden="false" customHeight="true" outlineLevel="0" collapsed="false">
      <c r="A13" s="6" t="s">
        <v>16</v>
      </c>
      <c r="B13" s="7" t="s">
        <v>17</v>
      </c>
      <c r="C13" s="7"/>
      <c r="D13" s="9" t="s">
        <v>18</v>
      </c>
      <c r="E13" s="10" t="n">
        <f aca="false">VLOOKUP(B13,Factores!D18:H20,5,FALSE())</f>
        <v>4</v>
      </c>
      <c r="F13" s="11" t="s">
        <v>19</v>
      </c>
    </row>
    <row r="14" customFormat="false" ht="15" hidden="false" customHeight="true" outlineLevel="0" collapsed="false">
      <c r="A14" s="12" t="s">
        <v>20</v>
      </c>
      <c r="B14" s="12"/>
      <c r="D14" s="9" t="s">
        <v>21</v>
      </c>
      <c r="E14" s="13" t="n">
        <f aca="false">VLOOKUP(B13,Factores!D18:H20,2,FALSE())</f>
        <v>1</v>
      </c>
      <c r="F14" s="9" t="s">
        <v>22</v>
      </c>
      <c r="G14" s="13" t="n">
        <f aca="false">VLOOKUP(B13,Factores!D18:H20,3,FALSE())</f>
        <v>1</v>
      </c>
      <c r="H14" s="9" t="s">
        <v>23</v>
      </c>
      <c r="I14" s="13" t="n">
        <f aca="false">VLOOKUP(B13,Factores!D18:H20,4,FALSE())</f>
        <v>1</v>
      </c>
    </row>
    <row r="16" customFormat="false" ht="15" hidden="false" customHeight="true" outlineLevel="0" collapsed="false">
      <c r="A16" s="14" t="s">
        <v>24</v>
      </c>
      <c r="B16" s="14"/>
      <c r="C16" s="14"/>
      <c r="D16" s="15" t="n">
        <f aca="false">D7*D8*D9*D10*D11</f>
        <v>1</v>
      </c>
    </row>
    <row r="18" customFormat="false" ht="16.15" hidden="false" customHeight="false" outlineLevel="0" collapsed="false">
      <c r="A18" s="16" t="s">
        <v>25</v>
      </c>
      <c r="B18" s="16"/>
      <c r="C18" s="16"/>
      <c r="D18" s="16"/>
      <c r="E18" s="16"/>
      <c r="F18" s="16"/>
    </row>
    <row r="19" customFormat="false" ht="15" hidden="false" customHeight="false" outlineLevel="0" collapsed="false">
      <c r="A19" s="17" t="s">
        <v>26</v>
      </c>
      <c r="B19" s="17" t="s">
        <v>27</v>
      </c>
    </row>
    <row r="20" customFormat="false" ht="15" hidden="false" customHeight="false" outlineLevel="0" collapsed="false">
      <c r="A20" s="18" t="s">
        <v>28</v>
      </c>
      <c r="B20" s="19" t="n">
        <v>2000</v>
      </c>
    </row>
    <row r="21" customFormat="false" ht="15" hidden="false" customHeight="false" outlineLevel="0" collapsed="false">
      <c r="A21" s="18" t="s">
        <v>29</v>
      </c>
      <c r="B21" s="19" t="n">
        <v>1200</v>
      </c>
    </row>
    <row r="22" customFormat="false" ht="15" hidden="false" customHeight="false" outlineLevel="0" collapsed="false">
      <c r="A22" s="18" t="s">
        <v>30</v>
      </c>
      <c r="B22" s="19" t="n">
        <v>700</v>
      </c>
    </row>
    <row r="24" customFormat="false" ht="16.15" hidden="false" customHeight="false" outlineLevel="0" collapsed="false">
      <c r="A24" s="16" t="s">
        <v>31</v>
      </c>
      <c r="B24" s="16"/>
      <c r="C24" s="16"/>
      <c r="D24" s="16"/>
      <c r="E24" s="16"/>
      <c r="F24" s="16"/>
    </row>
    <row r="25" customFormat="false" ht="15" hidden="false" customHeight="false" outlineLevel="0" collapsed="false">
      <c r="A25" s="20" t="s">
        <v>32</v>
      </c>
      <c r="B25" s="20" t="s">
        <v>33</v>
      </c>
      <c r="C25" s="20" t="s">
        <v>34</v>
      </c>
      <c r="D25" s="20" t="s">
        <v>35</v>
      </c>
      <c r="E25" s="20" t="s">
        <v>36</v>
      </c>
      <c r="F25" s="20" t="s">
        <v>37</v>
      </c>
    </row>
    <row r="26" customFormat="false" ht="15" hidden="false" customHeight="false" outlineLevel="0" collapsed="false">
      <c r="A26" s="21" t="s">
        <v>38</v>
      </c>
      <c r="B26" s="22" t="n">
        <f aca="false">Factores!B24*$D$16*$E$14</f>
        <v>5</v>
      </c>
      <c r="C26" s="22" t="n">
        <f aca="false">Factores!C24*$D$16*$E$14</f>
        <v>5.5</v>
      </c>
      <c r="D26" s="22" t="n">
        <f aca="false">Factores!D24*$D$16*$E$14</f>
        <v>4</v>
      </c>
      <c r="E26" s="23" t="n">
        <f aca="false">SUM(B26:D26)</f>
        <v>14.5</v>
      </c>
      <c r="F26" s="24" t="n">
        <f aca="false">B26*$B$20+C26*$B$21+D26*$B$22</f>
        <v>19400</v>
      </c>
    </row>
    <row r="27" customFormat="false" ht="15" hidden="false" customHeight="false" outlineLevel="0" collapsed="false">
      <c r="A27" s="21" t="s">
        <v>39</v>
      </c>
      <c r="B27" s="22" t="n">
        <f aca="false">Factores!B25*$D$16*$G$14</f>
        <v>4.5</v>
      </c>
      <c r="C27" s="22" t="n">
        <f aca="false">Factores!C25*$D$16*$G$14</f>
        <v>11</v>
      </c>
      <c r="D27" s="22" t="n">
        <f aca="false">Factores!D25*$D$16*$G$14</f>
        <v>7</v>
      </c>
      <c r="E27" s="23" t="n">
        <f aca="false">SUM(B27:D27)</f>
        <v>22.5</v>
      </c>
      <c r="F27" s="24" t="n">
        <f aca="false">B27*$B$20+C27*$B$21+D27*$B$22</f>
        <v>27100</v>
      </c>
    </row>
    <row r="28" customFormat="false" ht="15" hidden="false" customHeight="false" outlineLevel="0" collapsed="false">
      <c r="A28" s="21" t="s">
        <v>40</v>
      </c>
      <c r="B28" s="22" t="n">
        <f aca="false">Factores!B26*$D$16*$I$14</f>
        <v>2.5</v>
      </c>
      <c r="C28" s="22" t="n">
        <f aca="false">Factores!C26*$D$16*$I$14</f>
        <v>7.5</v>
      </c>
      <c r="D28" s="22" t="n">
        <f aca="false">Factores!D26*$D$16*$I$14</f>
        <v>6.5</v>
      </c>
      <c r="E28" s="23" t="n">
        <f aca="false">SUM(B28:D28)</f>
        <v>16.5</v>
      </c>
      <c r="F28" s="24" t="n">
        <f aca="false">B28*$B$20+C28*$B$21+D28*$B$22</f>
        <v>18550</v>
      </c>
    </row>
    <row r="29" customFormat="false" ht="15" hidden="false" customHeight="false" outlineLevel="0" collapsed="false">
      <c r="A29" s="25" t="s">
        <v>41</v>
      </c>
      <c r="B29" s="26" t="n">
        <f aca="false">SUM(B26:B28)</f>
        <v>12</v>
      </c>
      <c r="C29" s="26" t="n">
        <f aca="false">SUM(C26:C28)</f>
        <v>24</v>
      </c>
      <c r="D29" s="26" t="n">
        <f aca="false">SUM(D26:D28)</f>
        <v>17.5</v>
      </c>
      <c r="E29" s="26" t="n">
        <f aca="false">SUM(E26:E28)</f>
        <v>53.5</v>
      </c>
      <c r="F29" s="27" t="n">
        <f aca="false">SUM(F26:F28)</f>
        <v>65050</v>
      </c>
    </row>
    <row r="32" customFormat="false" ht="16.15" hidden="false" customHeight="false" outlineLevel="0" collapsed="false">
      <c r="A32" s="16" t="s">
        <v>42</v>
      </c>
      <c r="B32" s="16"/>
      <c r="C32" s="16"/>
      <c r="D32" s="16"/>
      <c r="E32" s="16"/>
      <c r="F32" s="16"/>
    </row>
    <row r="33" customFormat="false" ht="17.35" hidden="false" customHeight="false" outlineLevel="0" collapsed="false">
      <c r="A33" s="28" t="s">
        <v>43</v>
      </c>
      <c r="B33" s="29" t="n">
        <f aca="false">E29</f>
        <v>53.5</v>
      </c>
    </row>
    <row r="34" customFormat="false" ht="17.35" hidden="false" customHeight="false" outlineLevel="0" collapsed="false">
      <c r="A34" s="28" t="s">
        <v>44</v>
      </c>
      <c r="B34" s="30" t="n">
        <f aca="false">E29*8</f>
        <v>428</v>
      </c>
    </row>
    <row r="35" customFormat="false" ht="17.35" hidden="false" customHeight="false" outlineLevel="0" collapsed="false">
      <c r="A35" s="28" t="s">
        <v>45</v>
      </c>
      <c r="B35" s="31" t="str">
        <f aca="false">E13" semanas"</f>
        <v> semanas</v>
      </c>
    </row>
    <row r="36" customFormat="false" ht="19.7" hidden="false" customHeight="false" outlineLevel="0" collapsed="false">
      <c r="A36" s="32" t="s">
        <v>46</v>
      </c>
      <c r="B36" s="33" t="n">
        <f aca="false">F29</f>
        <v>65050</v>
      </c>
    </row>
    <row r="39" customFormat="false" ht="16.15" hidden="false" customHeight="false" outlineLevel="0" collapsed="false">
      <c r="A39" s="16" t="s">
        <v>47</v>
      </c>
      <c r="B39" s="16"/>
      <c r="C39" s="16"/>
      <c r="D39" s="16"/>
      <c r="E39" s="16"/>
      <c r="F39" s="16"/>
    </row>
    <row r="40" customFormat="false" ht="15" hidden="false" customHeight="false" outlineLevel="0" collapsed="false">
      <c r="A40" s="20" t="s">
        <v>26</v>
      </c>
      <c r="B40" s="20" t="s">
        <v>48</v>
      </c>
      <c r="C40" s="20" t="s">
        <v>49</v>
      </c>
      <c r="D40" s="20" t="s">
        <v>50</v>
      </c>
      <c r="E40" s="20" t="s">
        <v>27</v>
      </c>
      <c r="F40" s="20" t="s">
        <v>37</v>
      </c>
    </row>
    <row r="41" customFormat="false" ht="15" hidden="false" customHeight="false" outlineLevel="0" collapsed="false">
      <c r="A41" s="21" t="s">
        <v>28</v>
      </c>
      <c r="B41" s="22" t="n">
        <f aca="false">SUM(B26:B28)</f>
        <v>12</v>
      </c>
      <c r="C41" s="34" t="n">
        <f aca="false">B41/$E$29</f>
        <v>0.224299065420561</v>
      </c>
      <c r="D41" s="35" t="n">
        <f aca="false">B41*8</f>
        <v>96</v>
      </c>
      <c r="E41" s="36" t="n">
        <f aca="false">$B$20</f>
        <v>2000</v>
      </c>
      <c r="F41" s="24" t="n">
        <f aca="false">B41*$B$20</f>
        <v>24000</v>
      </c>
    </row>
    <row r="42" customFormat="false" ht="15" hidden="false" customHeight="false" outlineLevel="0" collapsed="false">
      <c r="A42" s="21" t="s">
        <v>29</v>
      </c>
      <c r="B42" s="22" t="n">
        <f aca="false">SUM(C26:C28)</f>
        <v>24</v>
      </c>
      <c r="C42" s="34" t="n">
        <f aca="false">B42/$E$29</f>
        <v>0.448598130841122</v>
      </c>
      <c r="D42" s="35" t="n">
        <f aca="false">B42*8</f>
        <v>192</v>
      </c>
      <c r="E42" s="36" t="n">
        <f aca="false">$B$21</f>
        <v>1200</v>
      </c>
      <c r="F42" s="24" t="n">
        <f aca="false">B42*$B$21</f>
        <v>28800</v>
      </c>
    </row>
    <row r="43" customFormat="false" ht="15" hidden="false" customHeight="false" outlineLevel="0" collapsed="false">
      <c r="A43" s="21" t="s">
        <v>30</v>
      </c>
      <c r="B43" s="22" t="n">
        <f aca="false">SUM(D26:D28)</f>
        <v>17.5</v>
      </c>
      <c r="C43" s="34" t="n">
        <f aca="false">B43/$E$29</f>
        <v>0.327102803738318</v>
      </c>
      <c r="D43" s="35" t="n">
        <f aca="false">B43*8</f>
        <v>140</v>
      </c>
      <c r="E43" s="36" t="n">
        <f aca="false">$B$22</f>
        <v>700</v>
      </c>
      <c r="F43" s="24" t="n">
        <f aca="false">B43*$B$22</f>
        <v>12250</v>
      </c>
    </row>
    <row r="44" customFormat="false" ht="15" hidden="false" customHeight="false" outlineLevel="0" collapsed="false">
      <c r="A44" s="25" t="s">
        <v>41</v>
      </c>
      <c r="B44" s="26" t="n">
        <f aca="false">SUM(B41:B43)</f>
        <v>53.5</v>
      </c>
      <c r="C44" s="37" t="n">
        <f aca="false">SUM(C41:C43)</f>
        <v>1</v>
      </c>
      <c r="D44" s="26" t="n">
        <f aca="false">SUM(D41:D43)</f>
        <v>428</v>
      </c>
      <c r="E44" s="38"/>
      <c r="F44" s="39" t="n">
        <f aca="false">SUM(F41:F43)</f>
        <v>65050</v>
      </c>
    </row>
    <row r="47" customFormat="false" ht="16.15" hidden="false" customHeight="false" outlineLevel="0" collapsed="false">
      <c r="A47" s="16" t="s">
        <v>51</v>
      </c>
      <c r="B47" s="16"/>
      <c r="C47" s="16"/>
      <c r="D47" s="16"/>
      <c r="E47" s="16"/>
      <c r="F47" s="16"/>
    </row>
    <row r="48" customFormat="false" ht="15" hidden="false" customHeight="true" outlineLevel="0" collapsed="false">
      <c r="A48" s="40" t="s">
        <v>52</v>
      </c>
      <c r="B48" s="40"/>
      <c r="C48" s="40"/>
      <c r="D48" s="40"/>
      <c r="E48" s="40"/>
      <c r="F48" s="40"/>
    </row>
    <row r="49" customFormat="false" ht="15" hidden="false" customHeight="true" outlineLevel="0" collapsed="false">
      <c r="A49" s="40" t="s">
        <v>53</v>
      </c>
      <c r="B49" s="40"/>
      <c r="C49" s="40"/>
      <c r="D49" s="40"/>
      <c r="E49" s="40"/>
      <c r="F49" s="40"/>
    </row>
    <row r="50" customFormat="false" ht="15" hidden="false" customHeight="true" outlineLevel="0" collapsed="false">
      <c r="A50" s="40" t="s">
        <v>54</v>
      </c>
      <c r="B50" s="40"/>
      <c r="C50" s="40"/>
      <c r="D50" s="40"/>
      <c r="E50" s="40"/>
      <c r="F50" s="40"/>
    </row>
    <row r="51" customFormat="false" ht="15" hidden="false" customHeight="true" outlineLevel="0" collapsed="false">
      <c r="A51" s="40" t="s">
        <v>55</v>
      </c>
      <c r="B51" s="40"/>
      <c r="C51" s="40"/>
      <c r="D51" s="40"/>
      <c r="E51" s="40"/>
      <c r="F51" s="40"/>
    </row>
    <row r="52" customFormat="false" ht="15" hidden="false" customHeight="true" outlineLevel="0" collapsed="false">
      <c r="A52" s="40" t="s">
        <v>56</v>
      </c>
      <c r="B52" s="40"/>
      <c r="C52" s="40"/>
      <c r="D52" s="40"/>
      <c r="E52" s="40"/>
      <c r="F52" s="40"/>
    </row>
    <row r="53" customFormat="false" ht="15" hidden="false" customHeight="true" outlineLevel="0" collapsed="false">
      <c r="A53" s="40" t="s">
        <v>57</v>
      </c>
      <c r="B53" s="40"/>
      <c r="C53" s="40"/>
      <c r="D53" s="40"/>
      <c r="E53" s="40"/>
      <c r="F53" s="40"/>
    </row>
    <row r="54" customFormat="false" ht="15" hidden="false" customHeight="true" outlineLevel="0" collapsed="false">
      <c r="A54" s="40" t="s">
        <v>58</v>
      </c>
      <c r="B54" s="40"/>
      <c r="C54" s="40"/>
      <c r="D54" s="40"/>
      <c r="E54" s="40"/>
      <c r="F54" s="40"/>
    </row>
    <row r="55" customFormat="false" ht="15" hidden="false" customHeight="true" outlineLevel="0" collapsed="false">
      <c r="A55" s="40" t="s">
        <v>59</v>
      </c>
      <c r="B55" s="40"/>
      <c r="C55" s="40"/>
      <c r="D55" s="40"/>
      <c r="E55" s="40"/>
      <c r="F55" s="40"/>
    </row>
  </sheetData>
  <mergeCells count="24">
    <mergeCell ref="A1:F1"/>
    <mergeCell ref="A2:F2"/>
    <mergeCell ref="A5:F5"/>
    <mergeCell ref="B7:C7"/>
    <mergeCell ref="B8:C8"/>
    <mergeCell ref="B9:C9"/>
    <mergeCell ref="B10:C10"/>
    <mergeCell ref="B11:C11"/>
    <mergeCell ref="B13:C13"/>
    <mergeCell ref="A14:B14"/>
    <mergeCell ref="A16:C16"/>
    <mergeCell ref="A18:F18"/>
    <mergeCell ref="A24:F24"/>
    <mergeCell ref="A32:F32"/>
    <mergeCell ref="A39:F39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</mergeCells>
  <dataValidations count="6">
    <dataValidation allowBlank="false" errorStyle="stop" operator="between" showDropDown="false" showErrorMessage="false" showInputMessage="false" sqref="B7" type="list">
      <formula1>Factores!$A$4:$A$7</formula1>
      <formula2>0</formula2>
    </dataValidation>
    <dataValidation allowBlank="false" errorStyle="stop" operator="between" showDropDown="false" showErrorMessage="false" showInputMessage="false" sqref="B8" type="list">
      <formula1>Factores!$D$4:$D$6</formula1>
      <formula2>0</formula2>
    </dataValidation>
    <dataValidation allowBlank="false" errorStyle="stop" operator="between" showDropDown="false" showErrorMessage="false" showInputMessage="false" sqref="B9" type="list">
      <formula1>Factores!$A$11:$A$13</formula1>
      <formula2>0</formula2>
    </dataValidation>
    <dataValidation allowBlank="false" errorStyle="stop" operator="between" showDropDown="false" showErrorMessage="false" showInputMessage="false" sqref="B10" type="list">
      <formula1>Factores!$D$11:$D$13</formula1>
      <formula2>0</formula2>
    </dataValidation>
    <dataValidation allowBlank="false" errorStyle="stop" operator="between" showDropDown="false" showErrorMessage="false" showInputMessage="false" sqref="B11" type="list">
      <formula1>Factores!$A$17:$A$19</formula1>
      <formula2>0</formula2>
    </dataValidation>
    <dataValidation allowBlank="false" errorStyle="stop" operator="between" showDropDown="false" showErrorMessage="false" showInputMessage="false" sqref="B13" type="list">
      <formula1>Factores!$D$18:$D$20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  <col collapsed="false" customWidth="true" hidden="false" outlineLevel="0" max="4" min="4" style="0" width="26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1" t="s">
        <v>62</v>
      </c>
      <c r="B4" s="41" t="s">
        <v>63</v>
      </c>
      <c r="C4" s="41" t="s">
        <v>64</v>
      </c>
      <c r="D4" s="41" t="s">
        <v>65</v>
      </c>
    </row>
    <row r="5" customFormat="false" ht="15" hidden="false" customHeight="false" outlineLevel="0" collapsed="false">
      <c r="A5" s="42" t="s">
        <v>66</v>
      </c>
      <c r="B5" s="43" t="s">
        <v>67</v>
      </c>
      <c r="C5" s="43" t="s">
        <v>67</v>
      </c>
      <c r="D5" s="43" t="s">
        <v>68</v>
      </c>
    </row>
    <row r="6" customFormat="false" ht="15" hidden="false" customHeight="false" outlineLevel="0" collapsed="false">
      <c r="A6" s="42" t="s">
        <v>69</v>
      </c>
      <c r="B6" s="43" t="s">
        <v>70</v>
      </c>
      <c r="C6" s="43" t="s">
        <v>71</v>
      </c>
      <c r="D6" s="43" t="s">
        <v>72</v>
      </c>
    </row>
    <row r="7" customFormat="false" ht="15" hidden="false" customHeight="false" outlineLevel="0" collapsed="false">
      <c r="A7" s="42" t="s">
        <v>73</v>
      </c>
      <c r="B7" s="22" t="n">
        <f aca="false">Factores!B24</f>
        <v>5</v>
      </c>
      <c r="C7" s="22" t="n">
        <f aca="false">SUM(Factores!B24:B26)</f>
        <v>12</v>
      </c>
      <c r="D7" s="22" t="n">
        <f aca="false">SUM(Factores!B24:B26)*1.2</f>
        <v>14.4</v>
      </c>
    </row>
    <row r="8" customFormat="false" ht="15" hidden="false" customHeight="false" outlineLevel="0" collapsed="false">
      <c r="A8" s="42" t="s">
        <v>74</v>
      </c>
      <c r="B8" s="22" t="n">
        <f aca="false">Factores!C24</f>
        <v>5.5</v>
      </c>
      <c r="C8" s="22" t="n">
        <f aca="false">SUM(Factores!C24:C26)</f>
        <v>24</v>
      </c>
      <c r="D8" s="22" t="n">
        <f aca="false">SUM(Factores!C24:C26)*1.2</f>
        <v>28.8</v>
      </c>
    </row>
    <row r="9" customFormat="false" ht="15" hidden="false" customHeight="false" outlineLevel="0" collapsed="false">
      <c r="A9" s="42" t="s">
        <v>75</v>
      </c>
      <c r="B9" s="22" t="n">
        <f aca="false">Factores!D24</f>
        <v>4</v>
      </c>
      <c r="C9" s="22" t="n">
        <f aca="false">SUM(Factores!D24:D26)</f>
        <v>17.5</v>
      </c>
      <c r="D9" s="22" t="n">
        <f aca="false">SUM(Factores!D24:D26)*1.2</f>
        <v>21</v>
      </c>
    </row>
    <row r="10" customFormat="false" ht="15" hidden="false" customHeight="false" outlineLevel="0" collapsed="false">
      <c r="A10" s="44" t="s">
        <v>76</v>
      </c>
      <c r="B10" s="45" t="n">
        <f aca="false">B7+B8+B9</f>
        <v>14.5</v>
      </c>
      <c r="C10" s="45" t="n">
        <f aca="false">C7+C8+C9</f>
        <v>53.5</v>
      </c>
      <c r="D10" s="45" t="n">
        <f aca="false">D7+D8+D9</f>
        <v>64.2</v>
      </c>
    </row>
    <row r="11" customFormat="false" ht="15" hidden="false" customHeight="false" outlineLevel="0" collapsed="false">
      <c r="A11" s="44" t="s">
        <v>77</v>
      </c>
      <c r="B11" s="46" t="n">
        <f aca="false">B10*8</f>
        <v>116</v>
      </c>
      <c r="C11" s="46" t="n">
        <f aca="false">C10*8</f>
        <v>428</v>
      </c>
      <c r="D11" s="46" t="n">
        <f aca="false">D10*8</f>
        <v>513.6</v>
      </c>
    </row>
    <row r="12" customFormat="false" ht="15" hidden="false" customHeight="false" outlineLevel="0" collapsed="false">
      <c r="A12" s="42" t="s">
        <v>78</v>
      </c>
      <c r="B12" s="36" t="n">
        <f aca="false">B7*Estimador!$B$20</f>
        <v>10000</v>
      </c>
      <c r="C12" s="36" t="n">
        <f aca="false">C7*Estimador!$B$20</f>
        <v>24000</v>
      </c>
      <c r="D12" s="36" t="n">
        <f aca="false">D7*Estimador!$B$20</f>
        <v>28800</v>
      </c>
    </row>
    <row r="13" customFormat="false" ht="15" hidden="false" customHeight="false" outlineLevel="0" collapsed="false">
      <c r="A13" s="42" t="s">
        <v>79</v>
      </c>
      <c r="B13" s="36" t="n">
        <f aca="false">B8*Estimador!$B$21</f>
        <v>6600</v>
      </c>
      <c r="C13" s="36" t="n">
        <f aca="false">C8*Estimador!$B$21</f>
        <v>28800</v>
      </c>
      <c r="D13" s="36" t="n">
        <f aca="false">D8*Estimador!$B$21</f>
        <v>34560</v>
      </c>
    </row>
    <row r="14" customFormat="false" ht="15" hidden="false" customHeight="false" outlineLevel="0" collapsed="false">
      <c r="A14" s="42" t="s">
        <v>80</v>
      </c>
      <c r="B14" s="36" t="n">
        <f aca="false">B9*Estimador!$B$22</f>
        <v>2800</v>
      </c>
      <c r="C14" s="36" t="n">
        <f aca="false">C9*Estimador!$B$22</f>
        <v>12250</v>
      </c>
      <c r="D14" s="36" t="n">
        <f aca="false">D9*Estimador!$B$22</f>
        <v>14700</v>
      </c>
    </row>
    <row r="15" customFormat="false" ht="15" hidden="false" customHeight="false" outlineLevel="0" collapsed="false">
      <c r="A15" s="47" t="s">
        <v>81</v>
      </c>
      <c r="B15" s="48" t="n">
        <f aca="false">B12+B13+B14</f>
        <v>19400</v>
      </c>
      <c r="C15" s="48" t="n">
        <f aca="false">C12+C13+C14</f>
        <v>65050</v>
      </c>
      <c r="D15" s="48" t="n">
        <f aca="false">D12+D13+D14</f>
        <v>78060</v>
      </c>
    </row>
    <row r="18" customFormat="false" ht="15" hidden="false" customHeight="false" outlineLevel="0" collapsed="false">
      <c r="A18" s="49" t="s">
        <v>82</v>
      </c>
      <c r="B18" s="49"/>
      <c r="C18" s="49"/>
      <c r="D18" s="49"/>
    </row>
    <row r="19" customFormat="false" ht="15" hidden="false" customHeight="false" outlineLevel="0" collapsed="false">
      <c r="A19" s="49" t="s">
        <v>83</v>
      </c>
      <c r="B19" s="49"/>
      <c r="C19" s="49"/>
      <c r="D19" s="49"/>
    </row>
  </sheetData>
  <mergeCells count="4">
    <mergeCell ref="A1:F1"/>
    <mergeCell ref="A2:F2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5"/>
    <col collapsed="false" customWidth="true" hidden="false" outlineLevel="0" max="7" min="5" style="0" width="14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50" t="s">
        <v>84</v>
      </c>
      <c r="B1" s="50"/>
      <c r="C1" s="50"/>
      <c r="D1" s="50"/>
      <c r="E1" s="50"/>
      <c r="F1" s="50"/>
    </row>
    <row r="3" customFormat="false" ht="15" hidden="false" customHeight="false" outlineLevel="0" collapsed="false">
      <c r="A3" s="51" t="s">
        <v>85</v>
      </c>
      <c r="B3" s="51"/>
      <c r="D3" s="51" t="s">
        <v>86</v>
      </c>
      <c r="E3" s="51"/>
    </row>
    <row r="4" customFormat="false" ht="15" hidden="false" customHeight="false" outlineLevel="0" collapsed="false">
      <c r="A4" s="52" t="s">
        <v>87</v>
      </c>
      <c r="B4" s="53" t="n">
        <v>0.7</v>
      </c>
      <c r="D4" s="52" t="s">
        <v>9</v>
      </c>
      <c r="E4" s="53" t="n">
        <v>1</v>
      </c>
    </row>
    <row r="5" customFormat="false" ht="15" hidden="false" customHeight="false" outlineLevel="0" collapsed="false">
      <c r="A5" s="52" t="s">
        <v>7</v>
      </c>
      <c r="B5" s="53" t="n">
        <v>1</v>
      </c>
      <c r="D5" s="52" t="s">
        <v>88</v>
      </c>
      <c r="E5" s="53" t="n">
        <v>1.15</v>
      </c>
    </row>
    <row r="6" customFormat="false" ht="15" hidden="false" customHeight="false" outlineLevel="0" collapsed="false">
      <c r="A6" s="52" t="s">
        <v>89</v>
      </c>
      <c r="B6" s="53" t="n">
        <v>1.5</v>
      </c>
      <c r="D6" s="52" t="s">
        <v>90</v>
      </c>
      <c r="E6" s="53" t="n">
        <v>1.3</v>
      </c>
    </row>
    <row r="7" customFormat="false" ht="15" hidden="false" customHeight="false" outlineLevel="0" collapsed="false">
      <c r="A7" s="52" t="s">
        <v>91</v>
      </c>
      <c r="B7" s="53" t="n">
        <v>2.5</v>
      </c>
    </row>
    <row r="10" customFormat="false" ht="15" hidden="false" customHeight="false" outlineLevel="0" collapsed="false">
      <c r="A10" s="51" t="s">
        <v>92</v>
      </c>
      <c r="B10" s="51"/>
      <c r="D10" s="51" t="s">
        <v>93</v>
      </c>
      <c r="E10" s="51"/>
    </row>
    <row r="11" customFormat="false" ht="15" hidden="false" customHeight="false" outlineLevel="0" collapsed="false">
      <c r="A11" s="52" t="s">
        <v>94</v>
      </c>
      <c r="B11" s="53" t="n">
        <v>1.1</v>
      </c>
      <c r="D11" s="52" t="s">
        <v>13</v>
      </c>
      <c r="E11" s="53" t="n">
        <v>1</v>
      </c>
    </row>
    <row r="12" customFormat="false" ht="15" hidden="false" customHeight="false" outlineLevel="0" collapsed="false">
      <c r="A12" s="52" t="s">
        <v>11</v>
      </c>
      <c r="B12" s="53" t="n">
        <v>1</v>
      </c>
      <c r="D12" s="52" t="s">
        <v>95</v>
      </c>
      <c r="E12" s="53" t="n">
        <v>1.3</v>
      </c>
    </row>
    <row r="13" customFormat="false" ht="15" hidden="false" customHeight="false" outlineLevel="0" collapsed="false">
      <c r="A13" s="52" t="s">
        <v>96</v>
      </c>
      <c r="B13" s="53" t="n">
        <v>0.9</v>
      </c>
      <c r="D13" s="52" t="s">
        <v>97</v>
      </c>
      <c r="E13" s="53" t="n">
        <v>1.7</v>
      </c>
    </row>
    <row r="16" customFormat="false" ht="15" hidden="false" customHeight="false" outlineLevel="0" collapsed="false">
      <c r="A16" s="51" t="s">
        <v>98</v>
      </c>
      <c r="B16" s="51"/>
      <c r="D16" s="51" t="s">
        <v>99</v>
      </c>
      <c r="E16" s="51"/>
      <c r="F16" s="51"/>
      <c r="G16" s="51"/>
      <c r="H16" s="51"/>
    </row>
    <row r="17" customFormat="false" ht="26.85" hidden="false" customHeight="false" outlineLevel="0" collapsed="false">
      <c r="A17" s="52" t="s">
        <v>15</v>
      </c>
      <c r="B17" s="53" t="n">
        <v>1</v>
      </c>
      <c r="D17" s="20" t="s">
        <v>100</v>
      </c>
      <c r="E17" s="20" t="s">
        <v>101</v>
      </c>
      <c r="F17" s="20" t="s">
        <v>102</v>
      </c>
      <c r="G17" s="20" t="s">
        <v>103</v>
      </c>
      <c r="H17" s="20" t="s">
        <v>104</v>
      </c>
    </row>
    <row r="18" customFormat="false" ht="15" hidden="false" customHeight="false" outlineLevel="0" collapsed="false">
      <c r="A18" s="52" t="s">
        <v>105</v>
      </c>
      <c r="B18" s="53" t="n">
        <v>0.92</v>
      </c>
      <c r="D18" s="43" t="s">
        <v>106</v>
      </c>
      <c r="E18" s="8" t="n">
        <v>1</v>
      </c>
      <c r="F18" s="8" t="n">
        <v>0</v>
      </c>
      <c r="G18" s="8" t="n">
        <v>0</v>
      </c>
      <c r="H18" s="43" t="n">
        <v>4</v>
      </c>
    </row>
    <row r="19" customFormat="false" ht="15" hidden="false" customHeight="false" outlineLevel="0" collapsed="false">
      <c r="A19" s="52" t="s">
        <v>107</v>
      </c>
      <c r="B19" s="53" t="n">
        <v>0.85</v>
      </c>
      <c r="D19" s="43" t="s">
        <v>17</v>
      </c>
      <c r="E19" s="8" t="n">
        <v>1</v>
      </c>
      <c r="F19" s="8" t="n">
        <v>1</v>
      </c>
      <c r="G19" s="8" t="n">
        <v>1</v>
      </c>
      <c r="H19" s="43" t="n">
        <v>4</v>
      </c>
    </row>
    <row r="20" customFormat="false" ht="15" hidden="false" customHeight="false" outlineLevel="0" collapsed="false">
      <c r="D20" s="43" t="s">
        <v>108</v>
      </c>
      <c r="E20" s="8" t="n">
        <v>1.2</v>
      </c>
      <c r="F20" s="8" t="n">
        <v>1.2</v>
      </c>
      <c r="G20" s="8" t="n">
        <v>1.2</v>
      </c>
      <c r="H20" s="43" t="n">
        <v>6</v>
      </c>
    </row>
    <row r="22" customFormat="false" ht="15" hidden="false" customHeight="false" outlineLevel="0" collapsed="false">
      <c r="A22" s="51" t="s">
        <v>109</v>
      </c>
      <c r="B22" s="51"/>
      <c r="C22" s="51"/>
      <c r="D22" s="51"/>
      <c r="E22" s="51"/>
    </row>
    <row r="23" customFormat="false" ht="39.55" hidden="false" customHeight="false" outlineLevel="0" collapsed="false">
      <c r="A23" s="20" t="s">
        <v>32</v>
      </c>
      <c r="B23" s="20" t="s">
        <v>110</v>
      </c>
      <c r="C23" s="20" t="s">
        <v>111</v>
      </c>
      <c r="D23" s="20" t="s">
        <v>112</v>
      </c>
      <c r="E23" s="20" t="s">
        <v>113</v>
      </c>
    </row>
    <row r="24" customFormat="false" ht="15" hidden="false" customHeight="false" outlineLevel="0" collapsed="false">
      <c r="A24" s="54" t="s">
        <v>38</v>
      </c>
      <c r="B24" s="22" t="n">
        <v>5</v>
      </c>
      <c r="C24" s="22" t="n">
        <v>5.5</v>
      </c>
      <c r="D24" s="22" t="n">
        <v>4</v>
      </c>
      <c r="E24" s="23" t="n">
        <f aca="false">SUM(B24:D24)</f>
        <v>14.5</v>
      </c>
    </row>
    <row r="25" customFormat="false" ht="15" hidden="false" customHeight="false" outlineLevel="0" collapsed="false">
      <c r="A25" s="54" t="s">
        <v>39</v>
      </c>
      <c r="B25" s="22" t="n">
        <v>4.5</v>
      </c>
      <c r="C25" s="22" t="n">
        <v>11</v>
      </c>
      <c r="D25" s="22" t="n">
        <v>7</v>
      </c>
      <c r="E25" s="23" t="n">
        <f aca="false">SUM(B25:D25)</f>
        <v>22.5</v>
      </c>
    </row>
    <row r="26" customFormat="false" ht="15" hidden="false" customHeight="false" outlineLevel="0" collapsed="false">
      <c r="A26" s="54" t="s">
        <v>40</v>
      </c>
      <c r="B26" s="22" t="n">
        <v>2.5</v>
      </c>
      <c r="C26" s="22" t="n">
        <v>7.5</v>
      </c>
      <c r="D26" s="22" t="n">
        <v>6.5</v>
      </c>
      <c r="E26" s="23" t="n">
        <f aca="false">SUM(B26:D26)</f>
        <v>16.5</v>
      </c>
    </row>
    <row r="27" customFormat="false" ht="15" hidden="false" customHeight="false" outlineLevel="0" collapsed="false">
      <c r="A27" s="25" t="s">
        <v>41</v>
      </c>
      <c r="B27" s="26" t="n">
        <f aca="false">SUM(B24:B26)</f>
        <v>12</v>
      </c>
      <c r="C27" s="26" t="n">
        <f aca="false">SUM(C24:C26)</f>
        <v>24</v>
      </c>
      <c r="D27" s="26" t="n">
        <f aca="false">SUM(D24:D26)</f>
        <v>17.5</v>
      </c>
      <c r="E27" s="26" t="n">
        <f aca="false">SUM(E24:E26)</f>
        <v>53.5</v>
      </c>
    </row>
  </sheetData>
  <mergeCells count="8">
    <mergeCell ref="A1:F1"/>
    <mergeCell ref="A3:B3"/>
    <mergeCell ref="D3:E3"/>
    <mergeCell ref="A10:B10"/>
    <mergeCell ref="D10:E10"/>
    <mergeCell ref="A16:B16"/>
    <mergeCell ref="D16:H16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2026-05-01T12:42:30Z</dcterms:created>
  <dc:creator>openpyxl</dc:creator>
  <dc:description/>
  <dc:language>en-US</dc:language>
  <cp:lastModifiedBy/>
  <dcterms:modified xsi:type="dcterms:W3CDTF">2026-05-01T12:42:30Z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