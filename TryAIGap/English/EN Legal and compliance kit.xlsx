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 Compliance Radar" sheetId="1" state="visible" r:id="rId3"/>
    <sheet name=" Catalog" sheetId="2" state="visible" r:id="rId4"/>
    <sheet name=" Questionnaire" sheetId="3" state="visible" r:id="rId5"/>
    <sheet name=" Canvas" sheetId="4" state="visible" r:id="rId6"/>
    <sheet name=" Master Tabl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<sst xmlns="http://schemas.openxmlformats.org/spreadsheetml/2006/main" count="551" uniqueCount="423">
  <si>
    <t xml:space="preserve"> Compliance Radar · AI under regulation</t>
  </si>
  <si>
    <t xml:space="preserve"> Select your client's jurisdiction and the kit automatically displays the applicable rules, obligations, penalties, and recommended standards.</t>
  </si>
  <si>
    <t xml:space="preserve"> JURISDICTION:</t>
  </si>
  <si>
    <t xml:space="preserve">Mexico</t>
  </si>
  <si>
    <t xml:space="preserve"> Region:</t>
  </si>
  <si>
    <t xml:space="preserve"> Data protection authority:</t>
  </si>
  <si>
    <t xml:space="preserve"> 1. APPLICABLE LEGAL FRAMEWORK</t>
  </si>
  <si>
    <t xml:space="preserve"> Main data protection standard:</t>
  </si>
  <si>
    <t xml:space="preserve"> Year of validity:</t>
  </si>
  <si>
    <t xml:space="preserve"> EU AI Act extraterritorial:</t>
  </si>
  <si>
    <t xml:space="preserve"> AI Specific Framework (Local):</t>
  </si>
  <si>
    <t xml:space="preserve"> 2. KEY OBLIGATIONS FOR DOING AI</t>
  </si>
  <si>
    <t xml:space="preserve"> DPIA / PIA (Impact Assessment):</t>
  </si>
  <si>
    <t xml:space="preserve"> Explicit consent:</t>
  </si>
  <si>
    <t xml:space="preserve"> Right to an explanation of automated decisions:</t>
  </si>
  <si>
    <t xml:space="preserve"> Gap notification:</t>
  </si>
  <si>
    <t xml:space="preserve"> Mandatory DPO:</t>
  </si>
  <si>
    <t xml:space="preserve"> International transfers:</t>
  </si>
  <si>
    <t xml:space="preserve"> 3. MAXIMUM PENALTIES</t>
  </si>
  <si>
    <t xml:space="preserve"> Maximum penalty:</t>
  </si>
  <si>
    <t xml:space="preserve"> 4. RECOMMENDED STANDARDS AND FRAMEWORKS</t>
  </si>
  <si>
    <t xml:space="preserve"> Standard / Frame</t>
  </si>
  <si>
    <t xml:space="preserve"> Applicability</t>
  </si>
  <si>
    <t xml:space="preserve"> Focus</t>
  </si>
  <si>
    <t xml:space="preserve"> ISO/IEC 27001—Information Security</t>
  </si>
  <si>
    <t xml:space="preserve"> Information security, the foundation of any serious program.</t>
  </si>
  <si>
    <t xml:space="preserve"> ISO/IEC 27701 — Privacy Information Management</t>
  </si>
  <si>
    <t xml:space="preserve"> Extension of ISO 27001 with privacy controls. Criticism regarding personal data.</t>
  </si>
  <si>
    <t xml:space="preserve"> ISO/IEC 42001—AI Management System</t>
  </si>
  <si>
    <t xml:space="preserve">AI management system, certifiable. Key emerging standard.</t>
  </si>
  <si>
    <t xml:space="preserve"> ISO/IEC 23894 — AI Risk Management</t>
  </si>
  <si>
    <t xml:space="preserve"> AI risk management operational framework.</t>
  </si>
  <si>
    <t xml:space="preserve"> NIST AI Risk Management Framework</t>
  </si>
  <si>
    <t xml:space="preserve"> US Voluntary Framework — widely adopted international reference.</t>
  </si>
  <si>
    <t xml:space="preserve"> NIST Cybersecurity Framework (CSF)</t>
  </si>
  <si>
    <t xml:space="preserve"> Cybersecurity framework — de facto standard in the U.S.</t>
  </si>
  <si>
    <t xml:space="preserve"> 5. SECTORAL AND SPECIFIC NOTES</t>
  </si>
  <si>
    <t xml:space="preserve"> Typical sectoral regulators:</t>
  </si>
  <si>
    <t xml:space="preserve"> Specific notes:</t>
  </si>
  <si>
    <t xml:space="preserve"> 6. OPERATIONAL COMPLIANCE CHECKLIST FOR YOUR AI INITIATIVE</t>
  </si>
  <si>
    <t xml:space="preserve"> Mark the current status of each control. High-risk systems under the EU AI Act and many local regulations require most of these controls.</t>
  </si>
  <si>
    <t xml:space="preserve"> Control</t>
  </si>
  <si>
    <t xml:space="preserve"> State</t>
  </si>
  <si>
    <t xml:space="preserve"> Comments</t>
  </si>
  <si>
    <t xml:space="preserve"> Updated inventory of AI systems in use or under development</t>
  </si>
  <si>
    <t xml:space="preserve"> DPIA / PIA performed for each system with personal data</t>
  </si>
  <si>
    <t xml:space="preserve"> Documented legal bases for processing</t>
  </si>
  <si>
    <t xml:space="preserve"> Acceptable Use Policy for AI approved and communicated</t>
  </si>
  <si>
    <t xml:space="preserve">Model cards or technical documentation by system</t>
  </si>
  <si>
    <t xml:space="preserve"> Right to explanation mechanisms implemented</t>
  </si>
  <si>
    <t xml:space="preserve"> Documented gap notification procedure</t>
  </si>
  <si>
    <t xml:space="preserve"> DPO or designated privacy officer</t>
  </si>
  <si>
    <t xml:space="preserve"> Contractual clauses with AI providers (data processors)</t>
  </si>
  <si>
    <t xml:space="preserve"> Record of Treatment Activities (ROPA) updated</t>
  </si>
  <si>
    <t xml:space="preserve"> Audit and monitoring procedure for models in production</t>
  </si>
  <si>
    <t xml:space="preserve"> AI compliance training plan for key personnel</t>
  </si>
  <si>
    <t xml:space="preserve"> AI risk management system (reference ISO 23894 / NIST AI RMF)</t>
  </si>
  <si>
    <t xml:space="preserve"> Human override mechanism in critical automated decisions</t>
  </si>
  <si>
    <t xml:space="preserve"> Fairness audit / bias in systems that make decisions about people</t>
  </si>
  <si>
    <t xml:space="preserve"> CHECKLIST SUMMARY</t>
  </si>
  <si>
    <t xml:space="preserve"> Implemented:</t>
  </si>
  <si>
    <t xml:space="preserve"> Partial exams:</t>
  </si>
  <si>
    <t xml:space="preserve"> Earrings:</t>
  </si>
  <si>
    <t xml:space="preserve"> Not applicable:</t>
  </si>
  <si>
    <t xml:space="preserve"> % progress (out of applicable):</t>
  </si>
  <si>
    <t xml:space="preserve"> Catalog of use cases · AI in Legal and Compliance</t>
  </si>
  <si>
    <t xml:space="preserve">AI use cases applicable to the legal and compliance area. Mark in the last column those that apply to your organization.</t>
  </si>
  <si>
    <t xml:space="preserve"> #</t>
  </si>
  <si>
    <t xml:space="preserve"> Use case</t>
  </si>
  <si>
    <t xml:space="preserve"> Description</t>
  </si>
  <si>
    <t xml:space="preserve"> AI Family</t>
  </si>
  <si>
    <t xml:space="preserve"> Typical KPI</t>
  </si>
  <si>
    <t xml:space="preserve"> Required data</t>
  </si>
  <si>
    <t xml:space="preserve"> Effort</t>
  </si>
  <si>
    <t xml:space="preserve"> Maturity (1-5)</t>
  </si>
  <si>
    <t xml:space="preserve"> Compliance / Risk</t>
  </si>
  <si>
    <t xml:space="preserve"> Does this apply to us?</t>
  </si>
  <si>
    <t xml:space="preserve"> Grades</t>
  </si>
  <si>
    <t xml:space="preserve"> Automatic contract review</t>
  </si>
  <si>
    <t xml:space="preserve"> Identify risk clauses, deviations from the standard, and missing terms in incoming contracts.</t>
  </si>
  <si>
    <t xml:space="preserve"> GenAI</t>
  </si>
  <si>
    <t xml:space="preserve"> Review time, review coverage, risks detected</t>
  </si>
  <si>
    <t xml:space="preserve"> Master templates, history of signed contracts, risk criteria</t>
  </si>
  <si>
    <t xml:space="preserve"> Medium</t>
  </si>
  <si>
    <t xml:space="preserve"> Confidentiality; version traceability; mandatory human review.</t>
  </si>
  <si>
    <t xml:space="preserve"> Generating standard contract drafts</t>
  </si>
  <si>
    <t xml:space="preserve"> Auto-generates NDAs, MSAs, SOWs, DPAs from templates and case parameters.</t>
  </si>
  <si>
    <t xml:space="preserve"> Time to first draft, consistency, legal productivity</t>
  </si>
  <si>
    <t xml:space="preserve"> Master templates, case parameters, counterparty data</t>
  </si>
  <si>
    <t xml:space="preserve">Quick Win</t>
  </si>
  <si>
    <t xml:space="preserve"> Human approval before submission; version control.</t>
  </si>
  <si>
    <t xml:space="preserve"> Contract comparison and redlining</t>
  </si>
  <si>
    <t xml:space="preserve"> Compare the counterpart's proposal with the master template and suggest changes.</t>
  </si>
  <si>
    <t xml:space="preserve"> Redlining time, identified risks, quality of changes</t>
  </si>
  <si>
    <t xml:space="preserve"> Master template, counterparty contract</t>
  </si>
  <si>
    <t xml:space="preserve"> Final decision of the lawyer; traceability of comments.</t>
  </si>
  <si>
    <t xml:space="preserve"> DPIA / PIA assisted</t>
  </si>
  <si>
    <t xml:space="preserve"> Automatically generates a draft privacy impact assessment for initiatives involving personal data.</t>
  </si>
  <si>
    <t xml:space="preserve"> DPIA processing time, completeness, traceability</t>
  </si>
  <si>
    <t xml:space="preserve"> Project description, data involved, DPIA template</t>
  </si>
  <si>
    <t xml:space="preserve"> DPO validation; mandatory human review; regulatory traceability.</t>
  </si>
  <si>
    <t xml:space="preserve"> Regulatory change tracking</t>
  </si>
  <si>
    <t xml:space="preserve"> It monitors official publications and alerts about regulatory changes relevant to the client.</t>
  </si>
  <si>
    <t xml:space="preserve"> ML / GenAI</t>
  </si>
  <si>
    <t xml:space="preserve"> Regulatory coverage, detection time, false positives</t>
  </si>
  <si>
    <t xml:space="preserve">Official regulatory sources, taxonomy of relevance to the business</t>
  </si>
  <si>
    <t xml:space="preserve"> Human validation before acting; explainability of the assigned relevance.</t>
  </si>
  <si>
    <t xml:space="preserve"> Automatic generation of policies and procedures</t>
  </si>
  <si>
    <t xml:space="preserve"> Generate internal policies (acceptable use of AI, privacy, security) based on regulatory frameworks.</t>
  </si>
  <si>
    <t xml:space="preserve"> Processing time, alignment with frames, maintenance</t>
  </si>
  <si>
    <t xml:space="preserve"> Regulatory frameworks, existing policies, business context</t>
  </si>
  <si>
    <t xml:space="preserve"> Human approval; validity and updating; traceability of changes.</t>
  </si>
  <si>
    <t xml:space="preserve"> Conversational compliance assistant</t>
  </si>
  <si>
    <t xml:space="preserve"> Answer internal questions about regulations, internal policies and procedures, with citations to the source.</t>
  </si>
  <si>
    <t xml:space="preserve"> GenAI / RAG</t>
  </si>
  <si>
    <t xml:space="preserve"> Response time, staff self-sufficiency, FCR</t>
  </si>
  <si>
    <t xml:space="preserve"> Corpus of policies, internal regulations, internal jurisprudence</t>
  </si>
  <si>
    <t xml:space="preserve"> Risk of hallucination; obligation to cite source; escalation to human lawyer.</t>
  </si>
  <si>
    <t xml:space="preserve"> E-discovery with automatic classification</t>
  </si>
  <si>
    <t xml:space="preserve">Find and classify relevant documents in litigation or internal investigations.</t>
  </si>
  <si>
    <t xml:space="preserve"> e-discovery time, classification accuracy, cost</t>
  </si>
  <si>
    <t xml:space="preserve"> Business documentary corpus, litigation taxonomy</t>
  </si>
  <si>
    <t xml:space="preserve"> Privacy; attorney-client privilege; traceability.</t>
  </si>
  <si>
    <t xml:space="preserve"> Fraud detection and AML/CFT</t>
  </si>
  <si>
    <t xml:space="preserve"> Detects suspicious patterns in transactions for the prevention of money laundering and terrorist financing.</t>
  </si>
  <si>
    <t xml:space="preserve"> Classic ML</t>
  </si>
  <si>
    <t xml:space="preserve"> Cases detected, false positive rate, savings in fines</t>
  </si>
  <si>
    <t xml:space="preserve"> Transaction history, customer data, sanctions lists</t>
  </si>
  <si>
    <t xml:space="preserve"> Bias; fairness; mandatory explainability; SBS/UIF requirements.</t>
  </si>
  <si>
    <t xml:space="preserve"> Communications compliance monitoring</t>
  </si>
  <si>
    <t xml:space="preserve"> Detects risks in emails, internal chats and calls (sensitive information, inappropriate behavior, conflicts).</t>
  </si>
  <si>
    <t xml:space="preserve"> Cases detected, detection time, accuracy</t>
  </si>
  <si>
    <t xml:space="preserve"> Corpus of internal communications (with consent)</t>
  </si>
  <si>
    <t xml:space="preserve">Employee privacy; labor rights; transparency with the team; consult local regulations.</t>
  </si>
  <si>
    <t xml:space="preserve"> dynamic risk register</t>
  </si>
  <si>
    <t xml:space="preserve"> It keeps the risk register updated using internal and external sources.</t>
  </si>
  <si>
    <t xml:space="preserve"> Risk coverage, upgrade opportunity, quality</t>
  </si>
  <si>
    <t xml:space="preserve"> Internal data, external alerts, risk taxonomy</t>
  </si>
  <si>
    <t xml:space="preserve"> Human validation of severity; traceability of changes.</t>
  </si>
  <si>
    <t xml:space="preserve"> Whistleblower with anomaly detection</t>
  </si>
  <si>
    <t xml:space="preserve"> It prioritizes received reports and detects patterns of misconduct over time.</t>
  </si>
  <si>
    <t xml:space="preserve"> Response time to reports, confirmed cases, completeness</t>
  </si>
  <si>
    <t xml:space="preserve"> Historical reports, case taxonomy</t>
  </si>
  <si>
    <t xml:space="preserve"> Whistleblower anonymity; bias; follow-up obligation.</t>
  </si>
  <si>
    <t xml:space="preserve"> Model cards and self-maintained regulatory documentation</t>
  </si>
  <si>
    <t xml:space="preserve"> It keeps the technical and regulatory documentation of AI systems in production up to date.</t>
  </si>
  <si>
    <t xml:space="preserve"> Documentary coverage, timeliness, quality</t>
  </si>
  <si>
    <t xml:space="preserve">Model metadata, training history, operational metrics</t>
  </si>
  <si>
    <t xml:space="preserve"> Traceability; regulatory audit; alignment with ISO 42001.</t>
  </si>
  <si>
    <t xml:space="preserve"> SUMMARY OF SELECTIONS</t>
  </si>
  <si>
    <t xml:space="preserve"> Cases marked "Yes":</t>
  </si>
  <si>
    <t xml:space="preserve"> Cases marked "Maybe":</t>
  </si>
  <si>
    <t xml:space="preserve"> Total candidates (Yes + Maybe):</t>
  </si>
  <si>
    <t xml:space="preserve"> Self-assessment questionnaire · Legal and Compliance</t>
  </si>
  <si>
    <t xml:space="preserve"> Answer each question with a score from 1 to 5. The sheet calculates your pain and readiness score, and issues a recommendation based on the 2×2 matrix.</t>
  </si>
  <si>
    <t xml:space="preserve"> Scale:</t>
  </si>
  <si>
    <t xml:space="preserve"> 1 = does not exist / very low · 2 = low · 3 = medium · 4 = high · 5 = systematic / very high</t>
  </si>
  <si>
    <t xml:space="preserve"> Ask</t>
  </si>
  <si>
    <t xml:space="preserve"> Score (1-5)</t>
  </si>
  <si>
    <t xml:space="preserve"> BLOCK A — Operational Pain</t>
  </si>
  <si>
    <t xml:space="preserve"> A1</t>
  </si>
  <si>
    <t xml:space="preserve"> The volume of contracts/legal documents that the team manually reviews each month is:</t>
  </si>
  <si>
    <t xml:space="preserve"> A2</t>
  </si>
  <si>
    <t xml:space="preserve"> The time we invest in compliance manuals and regulatory documentation is:</t>
  </si>
  <si>
    <t xml:space="preserve"> A3</t>
  </si>
  <si>
    <t xml:space="preserve"> The current regulatory pressure (audits, inspections, recent sanctions) on our sector is:</t>
  </si>
  <si>
    <t xml:space="preserve">A4</t>
  </si>
  <si>
    <t xml:space="preserve"> Our error or omission rate in legal/compliance documentation is:</t>
  </si>
  <si>
    <t xml:space="preserve"> BLOCK B — Data Readiness</t>
  </si>
  <si>
    <t xml:space="preserve"> B1</t>
  </si>
  <si>
    <t xml:space="preserve"> We have an updated digital repository of contracts, policies, and legal documentation:</t>
  </si>
  <si>
    <t xml:space="preserve"> B2</t>
  </si>
  <si>
    <t xml:space="preserve"> The taxonomy/classification of legal documents is defined and applied:</t>
  </si>
  <si>
    <t xml:space="preserve"> B3</t>
  </si>
  <si>
    <t xml:space="preserve"> There is a document management system (DMS) with search and traceability:</t>
  </si>
  <si>
    <t xml:space="preserve"> B4</t>
  </si>
  <si>
    <t xml:space="preserve"> The data is integrated with business systems (CRM, ERP, ticketing):</t>
  </si>
  <si>
    <t xml:space="preserve"> BLOCK C — Team Readiness</t>
  </si>
  <si>
    <t xml:space="preserve"> C1</t>
  </si>
  <si>
    <t xml:space="preserve"> The General Counsel/legal leadership is open to incorporating AI and sponsors:</t>
  </si>
  <si>
    <t xml:space="preserve"> C2</t>
  </si>
  <si>
    <t xml:space="preserve"> There are legaltech profiles or natural allies on the team:</t>
  </si>
  <si>
    <t xml:space="preserve"> C3</t>
  </si>
  <si>
    <t xml:space="preserve"> Culture tolerates experiments where AI can make mistakes at the beginning:</t>
  </si>
  <si>
    <t xml:space="preserve"> C4</t>
  </si>
  <si>
    <t xml:space="preserve"> The team has successfully completed previous transformation projects:</t>
  </si>
  <si>
    <t xml:space="preserve"> BLOCK D — Strategic Alignment</t>
  </si>
  <si>
    <t xml:space="preserve"> D1</t>
  </si>
  <si>
    <t xml:space="preserve">We have explicit goals for legal efficiency, risk reduction, or speed of review:</t>
  </si>
  <si>
    <t xml:space="preserve"> D2</t>
  </si>
  <si>
    <t xml:space="preserve"> There is a reasonable budget to invest in legaltech/AI in the next 12 months:</t>
  </si>
  <si>
    <t xml:space="preserve"> D3</t>
  </si>
  <si>
    <t xml:space="preserve"> Applicable regulations allow us to use AI in legal reviews and proceedings:</t>
  </si>
  <si>
    <t xml:space="preserve"> D4</t>
  </si>
  <si>
    <t xml:space="preserve"> There is a clear business case for impact on costs, risks, or time:</t>
  </si>
  <si>
    <t xml:space="preserve"> RESULTS</t>
  </si>
  <si>
    <t xml:space="preserve"> Pain score (Block A):</t>
  </si>
  <si>
    <t xml:space="preserve"> Readiness score (Blocks B + C + D):</t>
  </si>
  <si>
    <t xml:space="preserve"> RECOMMENDATION:</t>
  </si>
  <si>
    <t xml:space="preserve"> 2×2 Matrix — Pain × Readiness</t>
  </si>
  <si>
    <t xml:space="preserve"> Readiness LOW (&lt; 3.5)</t>
  </si>
  <si>
    <t xml:space="preserve"> Readiness HIGH (≥ 3.5)</t>
  </si>
  <si>
    <t xml:space="preserve"> High Pain (≥ 3.5)</t>
  </si>
  <si>
    <t xml:space="preserve"> Invest in enablers first</t>
  </si>
  <si>
    <t xml:space="preserve"> PRIORITY QUICK WIN</t>
  </si>
  <si>
    <t xml:space="preserve"> LOW Pain (&lt; 3.5)</t>
  </si>
  <si>
    <t xml:space="preserve"> It's not time yet.</t>
  </si>
  <si>
    <t xml:space="preserve"> Opportunity without urgency</t>
  </si>
  <si>
    <t xml:space="preserve"> Opportunity Canvas · Legal and Compliance</t>
  </si>
  <si>
    <t xml:space="preserve"> Document a specific opportunity on one page. Replace the italicized text with your information. Output ready to populate the Module 2 template.</t>
  </si>
  <si>
    <t xml:space="preserve"> 1. Case Name</t>
  </si>
  <si>
    <t xml:space="preserve">Prompt: ≤ 8 words</t>
  </si>
  <si>
    <t xml:space="preserve"> e.g. Internal compliance conversational assistant</t>
  </si>
  <si>
    <t xml:space="preserve"> 2. Specific pain point</t>
  </si>
  <si>
    <t xml:space="preserve"> Prompt: Today our legal/compliance team suffers X when Y</t>
  </si>
  <si>
    <t xml:space="preserve"> For example, today our team receives ~120 internal inquiries per month about regulations and policies, which consumes 60 hours per month of the senior team.</t>
  </si>
  <si>
    <t xml:space="preserve"> 3. Frequency and volume</t>
  </si>
  <si>
    <t xml:space="preserve"> Prompt: How many times does this happen per month and who does it affect?</t>
  </si>
  <si>
    <t xml:space="preserve"> E.g. ~120 queries/month, 4 senior lawyers affected, 250+ internal users consulting.</t>
  </si>
  <si>
    <t xml:space="preserve"> 4. Estimated cost of pain</t>
  </si>
  <si>
    <t xml:space="preserve"> Prompt: USD/month or equivalent time; or risk avoided</t>
  </si>
  <si>
    <t xml:space="preserve"> E.g. 60 senior hours × USD 80 = USD 4,800/month in direct cost; risk of inconsistent responses.</t>
  </si>
  <si>
    <t xml:space="preserve"> 5. Primary KPI to move</t>
  </si>
  <si>
    <t xml:space="preserve"> Prompt: Specific indicator and direction</t>
  </si>
  <si>
    <t xml:space="preserve"> E.g. Internal consultation response time (from 48h to 4h); volume scaled to the team (-50%).</t>
  </si>
  <si>
    <t xml:space="preserve"> 6. Expected magnitude of change</t>
  </si>
  <si>
    <t xml:space="preserve"> Prompt: From X to Y, on what horizon</t>
  </si>
  <si>
    <t xml:space="preserve">e.g. Free up 40 hours/month from the senior team in 6 months; achieve 80% FAQ coverage in 9 months.</t>
  </si>
  <si>
    <t xml:space="preserve"> 7. Available data</t>
  </si>
  <si>
    <t xml:space="preserve"> Prompt: Sources, volume, quality, gaps</t>
  </si>
  <si>
    <t xml:space="preserve"> E.g. Policy repository in SharePoint (450 docs, medium quality), email query history (1 year), external regulation via official bulletin.</t>
  </si>
  <si>
    <t xml:space="preserve"> 8. Hypothetical AI Family</t>
  </si>
  <si>
    <t xml:space="preserve"> Prompt: Rules / Classical ML / GenAI / Hybrid (Module 4)</t>
  </si>
  <si>
    <t xml:space="preserve"> E.g. GenAI with RAG on internal policy repository + external regulatory base.</t>
  </si>
  <si>
    <t xml:space="preserve"> 9. Visible risks + jurisdiction</t>
  </si>
  <si>
    <t xml:space="preserve"> Prompt: Country-specific compliance; see Compliance Radar</t>
  </si>
  <si>
    <t xml:space="preserve"> E.g. Risk of critical hallucination in legal responses; obligation to cite source; Chilean jurisdiction (Law 19.628 + 21.719).</t>
  </si>
  <si>
    <t xml:space="preserve"> 10. Case Sponsor</t>
  </si>
  <si>
    <t xml:space="preserve"> Prompt: Name and role of the executive sponsor</t>
  </si>
  <si>
    <t xml:space="preserve"> Ex. General Counsel, Roberto Silva.</t>
  </si>
  <si>
    <t xml:space="preserve"> OUTPUT — Case Summary for Module 2 / 3</t>
  </si>
  <si>
    <t xml:space="preserve">When you complete all 10 fields, copy the content into the Module 2 opportunity template. Field 9 (risks + jurisdiction) should align with the Compliance Radar output for your jurisdiction.</t>
  </si>
  <si>
    <t xml:space="preserve"> Master Table of Jurisdictions · Reference Data</t>
  </si>
  <si>
    <t xml:space="preserve"> Data consolidated as of Q4 2025. Update as regulations change. The Compliance Radar sheet uses this data via VLOOKUP.</t>
  </si>
  <si>
    <t xml:space="preserve"> Jurisdiction</t>
  </si>
  <si>
    <t xml:space="preserve"> Region</t>
  </si>
  <si>
    <t xml:space="preserve"> Main standard</t>
  </si>
  <si>
    <t xml:space="preserve"> Validity year</t>
  </si>
  <si>
    <t xml:space="preserve"> Authority</t>
  </si>
  <si>
    <t xml:space="preserve"> DPIA / PIA required</t>
  </si>
  <si>
    <t xml:space="preserve"> Explicit consent</t>
  </si>
  <si>
    <t xml:space="preserve"> Right to explanation</t>
  </si>
  <si>
    <t xml:space="preserve"> Gap Notification</t>
  </si>
  <si>
    <t xml:space="preserve"> Mandatory DPO</t>
  </si>
  <si>
    <t xml:space="preserve"> International transfers</t>
  </si>
  <si>
    <t xml:space="preserve"> Maximum penalty</t>
  </si>
  <si>
    <t xml:space="preserve"> EU AI Act extraterritorial</t>
  </si>
  <si>
    <t xml:space="preserve"> ISO 27001</t>
  </si>
  <si>
    <t xml:space="preserve"> ISO 27701</t>
  </si>
  <si>
    <t xml:space="preserve"> ISO 42001</t>
  </si>
  <si>
    <t xml:space="preserve"> ISO 23894</t>
  </si>
  <si>
    <t xml:space="preserve"> NIST AI RMF</t>
  </si>
  <si>
    <t xml:space="preserve"> NIST CSF</t>
  </si>
  <si>
    <t xml:space="preserve"> Local AI framework</t>
  </si>
  <si>
    <t xml:space="preserve"> Typical sectors</t>
  </si>
  <si>
    <t xml:space="preserve"> Special notes</t>
  </si>
  <si>
    <t xml:space="preserve"> Latam</t>
  </si>
  <si>
    <t xml:space="preserve"> LFPDPPP</t>
  </si>
  <si>
    <t xml:space="preserve"> 2010 (2024 reform in progress)</t>
  </si>
  <si>
    <t xml:space="preserve"> INAI</t>
  </si>
  <si>
    <t xml:space="preserve"> Recommended (not explicitly required)</t>
  </si>
  <si>
    <t xml:space="preserve">Yes, in most cases</t>
  </si>
  <si>
    <t xml:space="preserve"> Partial</t>
  </si>
  <si>
    <t xml:space="preserve"> Immediate (without a specific legal deadline)</t>
  </si>
  <si>
    <t xml:space="preserve"> Not generally; yes, large volumes.</t>
  </si>
  <si>
    <t xml:space="preserve"> Permitted with consent or clauses</t>
  </si>
  <si>
    <t xml:space="preserve"> Up to 320,000 days of minimum wage (~USD 100K-110K)</t>
  </si>
  <si>
    <t xml:space="preserve"> Yes, if you process EU data or sell to the EU</t>
  </si>
  <si>
    <t xml:space="preserve"> Highly recommended</t>
  </si>
  <si>
    <t xml:space="preserve"> Recommended</t>
  </si>
  <si>
    <t xml:space="preserve"> Reference</t>
  </si>
  <si>
    <t xml:space="preserve"> Under legislative discussion</t>
  </si>
  <si>
    <t xml:space="preserve"> CONDUSEF (finance), COFEPRIS (health), CNBV</t>
  </si>
  <si>
    <t xml:space="preserve"> The 2024 reform brings Mexico closer to international standards. Greater focus on transfers and the rights of the data subject.</t>
  </si>
  <si>
    <t xml:space="preserve"> Brazil</t>
  </si>
  <si>
    <t xml:space="preserve"> LGPD (Law No. 13.709/2018)</t>
  </si>
  <si>
    <t xml:space="preserve"> 2018 (sanctions from 2021)</t>
  </si>
  <si>
    <t xml:space="preserve"> ANPD</t>
  </si>
  <si>
    <t xml:space="preserve"> Yes, RIPD for high risk</t>
  </si>
  <si>
    <t xml:space="preserve"> Yes (with alternative legal bases)</t>
  </si>
  <si>
    <t xml:space="preserve"> Yes (Art. 20 - automated decisions)</t>
  </si>
  <si>
    <t xml:space="preserve"> Within a reasonable timeframe to the ANPD</t>
  </si>
  <si>
    <t xml:space="preserve"> Yes, mandatory manager</t>
  </si>
  <si>
    <t xml:space="preserve"> Permitted with standard clauses</t>
  </si>
  <si>
    <t xml:space="preserve"> 2% of Brazil's previous year's revenue, maximum R$ 50M (~USD 10M) per violation</t>
  </si>
  <si>
    <t xml:space="preserve"> Yeah</t>
  </si>
  <si>
    <t xml:space="preserve"> PL 21/2020 on AI under discussion</t>
  </si>
  <si>
    <t xml:space="preserve">BACEN (finance), ANS (health), ANATEL (telecom)</t>
  </si>
  <si>
    <t xml:space="preserve"> ANPD very active in sanctions since 2023. AI Regulation in legislative progress.</t>
  </si>
  <si>
    <t xml:space="preserve"> Argentina</t>
  </si>
  <si>
    <t xml:space="preserve"> Law 25.326 + Provision 11/2006</t>
  </si>
  <si>
    <t xml:space="preserve"> 2000 (reform in progress)</t>
  </si>
  <si>
    <t xml:space="preserve"> AAIP</t>
  </si>
  <si>
    <t xml:space="preserve"> Recommended (DIPI - Privacy Impact Document)</t>
  </si>
  <si>
    <t xml:space="preserve"> Not mandatory (in draft reform)</t>
  </si>
  <si>
    <t xml:space="preserve"> Not mandatory</t>
  </si>
  <si>
    <t xml:space="preserve"> Restricted; list of suitable countries</t>
  </si>
  <si>
    <t xml:space="preserve"> Up to ARS $100,000 per infraction (reform proposes to increase significantly)</t>
  </si>
  <si>
    <t xml:space="preserve"> Highly recommended (BCRA Com. A 7724 requires it of financial institutions)</t>
  </si>
  <si>
    <t xml:space="preserve"> AI provision under discussion</t>
  </si>
  <si>
    <t xml:space="preserve"> BCRA (financial institutions), CNV (securities market), SSN (insurance)</t>
  </si>
  <si>
    <t xml:space="preserve"> Reform of the Personal Data Law under legislative discussion. Central Bank of Argentina (BCRA) very active in cybersecurity.</t>
  </si>
  <si>
    <t xml:space="preserve"> Chili</t>
  </si>
  <si>
    <t xml:space="preserve"> Law 19.628 + Law 21.719 (2024)</t>
  </si>
  <si>
    <t xml:space="preserve"> 1999 (modernized 2024)</t>
  </si>
  <si>
    <t xml:space="preserve"> Personal Data Protection Agency (under creation)</t>
  </si>
  <si>
    <t xml:space="preserve"> Yes, for high risk (post-21.719)</t>
  </si>
  <si>
    <t xml:space="preserve"> Yes (post-21.719)</t>
  </si>
  <si>
    <t xml:space="preserve"> Yes, 72 hours</t>
  </si>
  <si>
    <t xml:space="preserve">Mandatory in some cases</t>
  </si>
  <si>
    <t xml:space="preserve"> Permitted with clauses</t>
  </si>
  <si>
    <t xml:space="preserve"> Up to 5,000 UTM (~USD 350K)</t>
  </si>
  <si>
    <t xml:space="preserve"> Highly recommended (CMF requires it of financial institutions)</t>
  </si>
  <si>
    <t xml:space="preserve"> National AI Policy (2021); AI Bill (2024)</t>
  </si>
  <si>
    <t xml:space="preserve"> CMF (financial institutions), Superintendency of Health, SUBTEL</t>
  </si>
  <si>
    <t xml:space="preserve"> Law 21.719 significantly increases requirements and creates the Data Protection Agency. Phased implementation 2024-2026.</t>
  </si>
  <si>
    <t xml:space="preserve"> Colombia</t>
  </si>
  <si>
    <t xml:space="preserve"> Law 1581 + Decree 1377 + Circular 002/2015</t>
  </si>
  <si>
    <t xml:space="preserve"> 2012</t>
  </si>
  <si>
    <t xml:space="preserve"> SIC (Superintendence of Industry and Commerce)</t>
  </si>
  <si>
    <t xml:space="preserve"> Yes, PIA (Privacy Impact Assessment)</t>
  </si>
  <si>
    <t xml:space="preserve"> Within a reasonable timeframe to the SIC</t>
  </si>
  <si>
    <t xml:space="preserve"> Up to 2,000 SMMLV (~USD 670K)</t>
  </si>
  <si>
    <t xml:space="preserve"> AI Guidelines issued by the SIC (2024)</t>
  </si>
  <si>
    <t xml:space="preserve"> SFC (financial institutions), Supersalud, MinTIC</t>
  </si>
  <si>
    <t xml:space="preserve"> SIC has issued guidelines on AI and published technical guides. It is active in imposing sanctions.</t>
  </si>
  <si>
    <t xml:space="preserve"> Peru</t>
  </si>
  <si>
    <t xml:space="preserve"> Law 29.733 + Regulation (DS 003-2013)</t>
  </si>
  <si>
    <t xml:space="preserve"> 2011 (Regulations 2013)</t>
  </si>
  <si>
    <t xml:space="preserve"> ANPD (integrated into MINJUS)</t>
  </si>
  <si>
    <t xml:space="preserve"> Not explicitly required</t>
  </si>
  <si>
    <t xml:space="preserve">Not explicitly required</t>
  </si>
  <si>
    <t xml:space="preserve"> Up to 100 UIT (~USD 130K)</t>
  </si>
  <si>
    <t xml:space="preserve"> AI regulations under discussion</t>
  </si>
  <si>
    <t xml:space="preserve"> SBS (financial institutions), SUSALUD, OSIPTEL</t>
  </si>
  <si>
    <t xml:space="preserve"> Regulatory framework undergoing modernization. Expected modifications aligned with LGPD/GDPR.</t>
  </si>
  <si>
    <t xml:space="preserve"> Ecuador</t>
  </si>
  <si>
    <t xml:space="preserve"> LOPDP (Organic Law on the Protection of Personal Data)</t>
  </si>
  <si>
    <t xml:space="preserve"> 2021</t>
  </si>
  <si>
    <t xml:space="preserve"> SPDP (Superintendency of Personal Data Protection)</t>
  </si>
  <si>
    <t xml:space="preserve"> Yes, for high risk</t>
  </si>
  <si>
    <t xml:space="preserve"> Yes, 5 days</t>
  </si>
  <si>
    <t xml:space="preserve"> Up to 0.7% of annual turnover; relevant minimum fines</t>
  </si>
  <si>
    <t xml:space="preserve"> Superintendency of Banks, ARCOTEL</t>
  </si>
  <si>
    <t xml:space="preserve"> LOPDP is very similar to GDPR in structure. SPDP began full operations in 2023.</t>
  </si>
  <si>
    <t xml:space="preserve"> Uruguay</t>
  </si>
  <si>
    <t xml:space="preserve"> Law 18.331</t>
  </si>
  <si>
    <t xml:space="preserve"> 2008</t>
  </si>
  <si>
    <t xml:space="preserve"> URCDP</t>
  </si>
  <si>
    <t xml:space="preserve"> Recommended</t>
  </si>
  <si>
    <t xml:space="preserve"> Permitted with suitable countries (EU compliance status)</t>
  </si>
  <si>
    <t xml:space="preserve"> Up to 500 UR (~USD 25K)</t>
  </si>
  <si>
    <t xml:space="preserve"> National AI Strategy (2020)</t>
  </si>
  <si>
    <t xml:space="preserve"> BCU (financial institutions), URSEC</t>
  </si>
  <si>
    <t xml:space="preserve"> Uruguay has EU recognition of its compliance. It has a mature framework but with low sanctions in absolute terms.</t>
  </si>
  <si>
    <t xml:space="preserve">USA — Federal</t>
  </si>
  <si>
    <t xml:space="preserve"> USA</t>
  </si>
  <si>
    <t xml:space="preserve"> No general law; sectoral (HIPAA, GLBA, FCRA, COPPA, FERPA)</t>
  </si>
  <si>
    <t xml:space="preserve"> It varies by law.</t>
  </si>
  <si>
    <t xml:space="preserve"> FTC + sector authorities</t>
  </si>
  <si>
    <t xml:space="preserve"> Sectoral (HIPAA requires Risk Assessment)</t>
  </si>
  <si>
    <t xml:space="preserve"> Sectorial</t>
  </si>
  <si>
    <t xml:space="preserve"> Yes, 50 states have breach notification laws</t>
  </si>
  <si>
    <t xml:space="preserve"> Non-federal</t>
  </si>
  <si>
    <t xml:space="preserve"> Permitted with sectoral limitations</t>
  </si>
  <si>
    <t xml:space="preserve"> It varies greatly by sector and violation</t>
  </si>
  <si>
    <t xml:space="preserve"> Yes, if EU data or system used in the EU</t>
  </si>
  <si>
    <t xml:space="preserve"> De facto standard</t>
  </si>
  <si>
    <t xml:space="preserve"> Executive Order on AI (Oct 2023); NIST AI RMF as a voluntary standard</t>
  </si>
  <si>
    <t xml:space="preserve"> HIPAA (healthcare), GLBA (financial), COPPA (minors), SEC (markets)</t>
  </si>
  <si>
    <t xml:space="preserve"> No comprehensive federal privacy law. ADPPA under legislative discussion. NIST AI RMF is a must-reference.</t>
  </si>
  <si>
    <t xml:space="preserve"> USA — California</t>
  </si>
  <si>
    <t xml:space="preserve"> CCPA + CPRA</t>
  </si>
  <si>
    <t xml:space="preserve"> 2018 CCPA, 2023 CPRA in force</t>
  </si>
  <si>
    <t xml:space="preserve"> CPPA (California Privacy Protection Agency)</t>
  </si>
  <si>
    <t xml:space="preserve"> Yes, for 'high risk processing' under CPRA</t>
  </si>
  <si>
    <t xml:space="preserve"> Not always (opt-out model); opt-in for sensitive</t>
  </si>
  <si>
    <t xml:space="preserve"> Limited (opt-out of automated decisions)</t>
  </si>
  <si>
    <t xml:space="preserve">Yes (Cal. Civ. Code § 1798.82)</t>
  </si>
  <si>
    <t xml:space="preserve"> Not mandatory (Privacy Officer recommended)</t>
  </si>
  <si>
    <t xml:space="preserve"> Not restricted like GDPR</t>
  </si>
  <si>
    <t xml:space="preserve"> Up to USD 7,500 for intentional violation; USD 2,500 for unintentional violation</t>
  </si>
  <si>
    <t xml:space="preserve"> Yes, if EU data</t>
  </si>
  <si>
    <t xml:space="preserve"> CPRA establishes opt-out of automated decision-making</t>
  </si>
  <si>
    <t xml:space="preserve"> No specific CA sector</t>
  </si>
  <si>
    <t xml:space="preserve"> Other states with similar laws: Virginia (VCDPA), Colorado (CPA), Connecticut (CTDPA), Utah (UCPA), Texas (TDPSA), etc.</t>
  </si>
  <si>
    <t xml:space="preserve"> UK</t>
  </si>
  <si>
    <t xml:space="preserve"> Europe</t>
  </si>
  <si>
    <t xml:space="preserve"> UK GDPR + Data Protection Act 2018</t>
  </si>
  <si>
    <t xml:space="preserve"> 2018 (effective Brexit 2020)</t>
  </si>
  <si>
    <t xml:space="preserve"> ICO (Information Commissioner's Office)</t>
  </si>
  <si>
    <t xml:space="preserve"> Yes, mandatory for high risk</t>
  </si>
  <si>
    <t xml:space="preserve"> Yes, just like GDPR</t>
  </si>
  <si>
    <t xml:space="preserve"> Yes (Art. 22)</t>
  </si>
  <si>
    <t xml:space="preserve"> Yes, 72 hours to ICO</t>
  </si>
  <si>
    <t xml:space="preserve"> Mandatory (similar to GDPR)</t>
  </si>
  <si>
    <t xml:space="preserve"> Restricted; UK-EU adequacy, IDTA type clauses</t>
  </si>
  <si>
    <t xml:space="preserve"> £17.5M or 4% of global turnover (whichever is greater)</t>
  </si>
  <si>
    <t xml:space="preserve"> Not directly; the UK has its own system.</t>
  </si>
  <si>
    <t xml:space="preserve"> UK AI Regulation White Paper (2023) — sectoral approach</t>
  </si>
  <si>
    <t xml:space="preserve"> FCA (financial), MHRA (health), Ofcom (communications)</t>
  </si>
  <si>
    <t xml:space="preserve">Data Protection and Digital Information Bill under discussion. Pro-innovation regulatory approach with sectoral guidance.</t>
  </si>
  <si>
    <t xml:space="preserve"> European Union (reference)</t>
  </si>
  <si>
    <t xml:space="preserve"> GDPR + EU AI Act</t>
  </si>
  <si>
    <t xml:space="preserve"> GDPR 2018, EU AI Act 2024 (phased to 2027)</t>
  </si>
  <si>
    <t xml:space="preserve"> EDPB + national authorities + AI Office</t>
  </si>
  <si>
    <t xml:space="preserve"> Mandatory in many cases</t>
  </si>
  <si>
    <t xml:space="preserve"> Restricted; standard clauses, adequacy decisions</t>
  </si>
  <si>
    <t xml:space="preserve"> GDPR: up to 4% of global turnover. EU AI Act: up to 7% for prohibited systems.</t>
  </si>
  <si>
    <t xml:space="preserve"> Apply directly</t>
  </si>
  <si>
    <t xml:space="preserve"> The EU AI Act classifies systems into 4 risk levels</t>
  </si>
  <si>
    <t xml:space="preserve"> DORA (financial services), MDR (medical devices)</t>
  </si>
  <si>
    <t xml:space="preserve"> The EU AI Act has extraterritorial application: it applies to any AI system used in the EU, even if the provider is located outside the EU. Very high fines are imposed.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</si>
</sst>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.00"/>
  </numFmts>
  <fonts count="4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A5F"/>
      <name val="Arial"/>
      <family val="0"/>
      <charset val="1"/>
    </font>
    <font>
      <i val="true"/>
      <sz val="11"/>
      <color rgb="FF6B7280"/>
      <name val="Arial"/>
      <family val="0"/>
      <charset val="1"/>
    </font>
    <font>
      <b val="true"/>
      <sz val="13"/>
      <color rgb="FF1F3A5F"/>
      <name val="Arial"/>
      <family val="0"/>
      <charset val="1"/>
    </font>
    <font>
      <b val="true"/>
      <sz val="14"/>
      <color rgb="FF0000FF"/>
      <name val="Arial"/>
      <family val="0"/>
      <charset val="1"/>
    </font>
    <font>
      <b val="true"/>
      <sz val="11"/>
      <color rgb="FF2D2D2D"/>
      <name val="Arial"/>
      <family val="0"/>
      <charset val="1"/>
    </font>
    <font>
      <sz val="12"/>
      <color rgb="FF1F3A5F"/>
      <name val="Arial"/>
      <family val="0"/>
      <charset val="1"/>
    </font>
    <font>
      <sz val="11"/>
      <color rgb="FF2D2D2D"/>
      <name val="Arial"/>
      <family val="0"/>
      <charset val="1"/>
    </font>
    <font>
      <b val="true"/>
      <sz val="12"/>
      <color rgb="FFB91C1C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sz val="10"/>
      <color rgb="FF2D2D2D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3"/>
      <color rgb="FF2E7D32"/>
      <name val="Arial"/>
      <family val="0"/>
      <charset val="1"/>
    </font>
    <font>
      <b val="true"/>
      <sz val="13"/>
      <color rgb="FFB7791F"/>
      <name val="Arial"/>
      <family val="0"/>
      <charset val="1"/>
    </font>
    <font>
      <b val="true"/>
      <sz val="13"/>
      <color rgb="FFB91C1C"/>
      <name val="Arial"/>
      <family val="0"/>
      <charset val="1"/>
    </font>
    <font>
      <sz val="13"/>
      <color rgb="FF6B7280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b val="true"/>
      <sz val="18"/>
      <color rgb="FF1F3A5F"/>
      <name val="Arial"/>
      <family val="0"/>
      <charset val="1"/>
    </font>
    <font>
      <b val="true"/>
      <sz val="10"/>
      <color rgb="FF2D2D2D"/>
      <name val="Arial"/>
      <family val="0"/>
      <charset val="1"/>
    </font>
    <font>
      <b val="true"/>
      <sz val="14"/>
      <color rgb="FF2E7D32"/>
      <name val="Arial"/>
      <family val="0"/>
      <charset val="1"/>
    </font>
    <font>
      <b val="true"/>
      <sz val="14"/>
      <color rgb="FFB7791F"/>
      <name val="Arial"/>
      <family val="0"/>
      <charset val="1"/>
    </font>
    <font>
      <i val="true"/>
      <sz val="10"/>
      <color rgb="FF2D2D2D"/>
      <name val="Arial"/>
      <family val="0"/>
      <charset val="1"/>
    </font>
    <font>
      <b val="true"/>
      <sz val="11"/>
      <color rgb="FFB91C1C"/>
      <name val="Arial"/>
      <family val="0"/>
      <charset val="1"/>
    </font>
    <font>
      <b val="true"/>
      <sz val="13"/>
      <color rgb="FF0000FF"/>
      <name val="Arial"/>
      <family val="0"/>
      <charset val="1"/>
    </font>
    <font>
      <b val="true"/>
      <sz val="12"/>
      <color rgb="FF2E75B6"/>
      <name val="Arial"/>
      <family val="0"/>
      <charset val="1"/>
    </font>
    <font>
      <b val="true"/>
      <sz val="11"/>
      <color rgb="FF2E75B6"/>
      <name val="Arial"/>
      <family val="0"/>
      <charset val="1"/>
    </font>
    <font>
      <b val="true"/>
      <sz val="12"/>
      <color rgb="FF2D2D2D"/>
      <name val="Arial"/>
      <family val="0"/>
      <charset val="1"/>
    </font>
    <font>
      <b val="true"/>
      <sz val="16"/>
      <color rgb="FFB91C1C"/>
      <name val="Arial"/>
      <family val="0"/>
      <charset val="1"/>
    </font>
    <font>
      <b val="true"/>
      <sz val="16"/>
      <color rgb="FF2E7D32"/>
      <name val="Arial"/>
      <family val="0"/>
      <charset val="1"/>
    </font>
    <font>
      <b val="true"/>
      <sz val="11"/>
      <color rgb="FFB7791F"/>
      <name val="Arial"/>
      <family val="0"/>
      <charset val="1"/>
    </font>
    <font>
      <b val="true"/>
      <sz val="11"/>
      <color rgb="FF2E7D32"/>
      <name val="Arial"/>
      <family val="0"/>
      <charset val="1"/>
    </font>
    <font>
      <i val="true"/>
      <sz val="11"/>
      <color rgb="FF2D2D2D"/>
      <name val="Arial"/>
      <family val="0"/>
      <charset val="1"/>
    </font>
    <font>
      <b val="true"/>
      <sz val="16"/>
      <color rgb="FF1F3A5F"/>
      <name val="Arial"/>
      <family val="0"/>
      <charset val="1"/>
    </font>
    <font>
      <sz val="9"/>
      <color rgb="FF2D2D2D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FFF8DC"/>
        <bgColor rgb="FFFFF4D6"/>
      </patternFill>
    </fill>
    <fill>
      <patternFill patternType="solid">
        <fgColor rgb="FFE8EEF4"/>
        <bgColor rgb="FFE8F4E8"/>
      </patternFill>
    </fill>
    <fill>
      <patternFill patternType="solid">
        <fgColor rgb="FFFDE7E9"/>
        <bgColor rgb="FFFFF4D6"/>
      </patternFill>
    </fill>
    <fill>
      <patternFill patternType="solid">
        <fgColor rgb="FFDCEEDC"/>
        <bgColor rgb="FFE8F4E8"/>
      </patternFill>
    </fill>
    <fill>
      <patternFill patternType="solid">
        <fgColor rgb="FFE8F4E8"/>
        <bgColor rgb="FFE8EEF4"/>
      </patternFill>
    </fill>
    <fill>
      <patternFill patternType="solid">
        <fgColor rgb="FFFFF4D6"/>
        <bgColor rgb="FFFFF8DC"/>
      </patternFill>
    </fill>
    <fill>
      <patternFill patternType="solid">
        <fgColor rgb="FFF7F9FB"/>
        <bgColor rgb="FFE8F4E8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3A5F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1F3A5F"/>
      </left>
      <right style="thin">
        <color rgb="FF1F3A5F"/>
      </right>
      <top style="thin">
        <color rgb="FF1F3A5F"/>
      </top>
      <bottom style="thin">
        <color rgb="FF1F3A5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3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3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4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35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3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0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7F9F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008080"/>
      <rgbColor rgb="FFCCCCCC"/>
      <rgbColor rgb="FF808080"/>
      <rgbColor rgb="FF9999FF"/>
      <rgbColor rgb="FF993366"/>
      <rgbColor rgb="FFFFF8DC"/>
      <rgbColor rgb="FFE8F4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4"/>
      <rgbColor rgb="FFDCEEDC"/>
      <rgbColor rgb="FFFFF4D6"/>
      <rgbColor rgb="FF99CCFF"/>
      <rgbColor rgb="FFFF99CC"/>
      <rgbColor rgb="FFCC99FF"/>
      <rgbColor rgb="FFFDE7E9"/>
      <rgbColor rgb="FF2E75B6"/>
      <rgbColor rgb="FF33CCCC"/>
      <rgbColor rgb="FF99CC00"/>
      <rgbColor rgb="FFFFCC00"/>
      <rgbColor rgb="FFFF9900"/>
      <rgbColor rgb="FFFF6600"/>
      <rgbColor rgb="FF6B7280"/>
      <rgbColor rgb="FF969696"/>
      <rgbColor rgb="FF1F3A5F"/>
      <rgbColor rgb="FF2E7D32"/>
      <rgbColor rgb="FF003300"/>
      <rgbColor rgb="FF333300"/>
      <rgbColor rgb="FFB91C1C"/>
      <rgbColor rgb="FF993366"/>
      <rgbColor rgb="FF333399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E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5" min="4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3" customFormat="false" ht="15" hidden="false" customHeight="false" outlineLevel="0" collapsed="false">
      <c r="A3" s="3"/>
      <c r="B3" s="3"/>
      <c r="C3" s="3"/>
      <c r="D3" s="3"/>
      <c r="E3" s="3"/>
    </row>
    <row r="5" customFormat="false" ht="17.35" hidden="false" customHeight="true" outlineLevel="0" collapsed="false">
      <c r="A5" s="4" t="s">
        <v>2</v>
      </c>
      <c r="B5" s="5" t="s">
        <v>3</v>
      </c>
      <c r="C5" s="5"/>
      <c r="D5" s="5"/>
    </row>
    <row r="7" customFormat="false" ht="15" hidden="false" customHeight="false" outlineLevel="0" collapsed="false">
      <c r="A7" s="6" t="s">
        <v>4</v>
      </c>
      <c r="B7" s="7" t="str">
        <f aca="false">VLOOKUP($B$5,'Tabla Maestra'!$A$5:$V$16,2,FALSE())</f>
        <v>Latam</v>
      </c>
      <c r="C7" s="7"/>
    </row>
    <row r="8" customFormat="false" ht="15" hidden="false" customHeight="false" outlineLevel="0" collapsed="false">
      <c r="A8" s="6" t="s">
        <v>5</v>
      </c>
      <c r="B8" s="7" t="str">
        <f aca="false">VLOOKUP($B$5,'Tabla Maestra'!$A$5:$V$16,5,FALSE())</f>
        <v> INAI</v>
      </c>
      <c r="C8" s="7"/>
      <c r="D8" s="7"/>
      <c r="E8" s="7"/>
    </row>
    <row r="10" customFormat="false" ht="16.15" hidden="false" customHeight="false" outlineLevel="0" collapsed="false">
      <c r="A10" s="8" t="s">
        <v>6</v>
      </c>
      <c r="B10" s="8"/>
      <c r="C10" s="8"/>
      <c r="D10" s="8"/>
      <c r="E10" s="8"/>
    </row>
    <row r="11" customFormat="false" ht="21.75" hidden="false" customHeight="true" outlineLevel="0" collapsed="false">
      <c r="A11" s="9" t="s">
        <v>7</v>
      </c>
      <c r="B11" s="10" t="str">
        <f aca="false">VLOOKUP($B$5,'Tabla Maestra'!$A$5:$V$16,3,FALSE())</f>
        <v> LFPDPPP</v>
      </c>
      <c r="C11" s="10"/>
      <c r="D11" s="10"/>
      <c r="E11" s="10"/>
    </row>
    <row r="12" customFormat="false" ht="21.75" hidden="false" customHeight="true" outlineLevel="0" collapsed="false">
      <c r="A12" s="9" t="s">
        <v>8</v>
      </c>
      <c r="B12" s="10" t="str">
        <f aca="false">VLOOKUP($B$5,'Tabla Maestra'!$A$5:$V$16,4,FALSE())</f>
        <v> 2010 (2024 reform in progress)</v>
      </c>
      <c r="C12" s="10"/>
      <c r="D12" s="10"/>
      <c r="E12" s="10"/>
    </row>
    <row r="13" customFormat="false" ht="21.75" hidden="false" customHeight="true" outlineLevel="0" collapsed="false">
      <c r="A13" s="9" t="s">
        <v>9</v>
      </c>
      <c r="B13" s="10" t="str">
        <f aca="false">VLOOKUP($B$5,'Tabla Maestra'!$A$5:$V$16,13,FALSE())</f>
        <v> Yes, if you process EU data or sell to the EU</v>
      </c>
      <c r="C13" s="10"/>
      <c r="D13" s="10"/>
      <c r="E13" s="10"/>
    </row>
    <row r="14" customFormat="false" ht="21.75" hidden="false" customHeight="true" outlineLevel="0" collapsed="false">
      <c r="A14" s="9" t="s">
        <v>10</v>
      </c>
      <c r="B14" s="10" t="str">
        <f aca="false">VLOOKUP($B$5,'Tabla Maestra'!$A$5:$V$16,20,FALSE())</f>
        <v> Under legislative discussion</v>
      </c>
      <c r="C14" s="10"/>
      <c r="D14" s="10"/>
      <c r="E14" s="10"/>
    </row>
    <row r="16" customFormat="false" ht="16.15" hidden="false" customHeight="false" outlineLevel="0" collapsed="false">
      <c r="A16" s="8" t="s">
        <v>11</v>
      </c>
      <c r="B16" s="8"/>
      <c r="C16" s="8"/>
      <c r="D16" s="8"/>
      <c r="E16" s="8"/>
    </row>
    <row r="17" customFormat="false" ht="21.75" hidden="false" customHeight="true" outlineLevel="0" collapsed="false">
      <c r="A17" s="9" t="s">
        <v>12</v>
      </c>
      <c r="B17" s="10" t="str">
        <f aca="false">VLOOKUP($B$5,'Tabla Maestra'!$A$5:$V$16,6,FALSE())</f>
        <v> Recommended (not explicitly required)</v>
      </c>
      <c r="C17" s="10"/>
      <c r="D17" s="10"/>
      <c r="E17" s="10"/>
    </row>
    <row r="18" customFormat="false" ht="21.75" hidden="false" customHeight="true" outlineLevel="0" collapsed="false">
      <c r="A18" s="9" t="s">
        <v>13</v>
      </c>
      <c r="B18" s="10" t="str">
        <f aca="false">VLOOKUP($B$5,'Tabla Maestra'!$A$5:$V$16,7,FALSE())</f>
        <v> Yes, in most cases</v>
      </c>
      <c r="C18" s="10"/>
      <c r="D18" s="10"/>
      <c r="E18" s="10"/>
    </row>
    <row r="19" customFormat="false" ht="21.75" hidden="false" customHeight="true" outlineLevel="0" collapsed="false">
      <c r="A19" s="9" t="s">
        <v>14</v>
      </c>
      <c r="B19" s="10" t="str">
        <f aca="false">VLOOKUP($B$5,'Tabla Maestra'!$A$5:$V$16,8,FALSE())</f>
        <v> Partial</v>
      </c>
      <c r="C19" s="10"/>
      <c r="D19" s="10"/>
      <c r="E19" s="10"/>
    </row>
    <row r="20" customFormat="false" ht="21.75" hidden="false" customHeight="true" outlineLevel="0" collapsed="false">
      <c r="A20" s="9" t="s">
        <v>15</v>
      </c>
      <c r="B20" s="10" t="str">
        <f aca="false">VLOOKUP($B$5,'Tabla Maestra'!$A$5:$V$16,9,FALSE())</f>
        <v> Immediate (without a specific legal deadline)</v>
      </c>
      <c r="C20" s="10"/>
      <c r="D20" s="10"/>
      <c r="E20" s="10"/>
    </row>
    <row r="21" customFormat="false" ht="21.75" hidden="false" customHeight="true" outlineLevel="0" collapsed="false">
      <c r="A21" s="9" t="s">
        <v>16</v>
      </c>
      <c r="B21" s="10" t="str">
        <f aca="false">VLOOKUP($B$5,'Tabla Maestra'!$A$5:$V$16,10,FALSE())</f>
        <v> Not generally; yes, large volumes.</v>
      </c>
      <c r="C21" s="10"/>
      <c r="D21" s="10"/>
      <c r="E21" s="10"/>
    </row>
    <row r="22" customFormat="false" ht="21.75" hidden="false" customHeight="true" outlineLevel="0" collapsed="false">
      <c r="A22" s="9" t="s">
        <v>17</v>
      </c>
      <c r="B22" s="10" t="str">
        <f aca="false">VLOOKUP($B$5,'Tabla Maestra'!$A$5:$V$16,11,FALSE())</f>
        <v> Permitted with consent or clauses</v>
      </c>
      <c r="C22" s="10"/>
      <c r="D22" s="10"/>
      <c r="E22" s="10"/>
    </row>
    <row r="24" customFormat="false" ht="16.15" hidden="false" customHeight="false" outlineLevel="0" collapsed="false">
      <c r="A24" s="11" t="s">
        <v>18</v>
      </c>
      <c r="B24" s="11"/>
      <c r="C24" s="11"/>
      <c r="D24" s="11"/>
      <c r="E24" s="11"/>
    </row>
    <row r="25" customFormat="false" ht="30" hidden="false" customHeight="true" outlineLevel="0" collapsed="false">
      <c r="A25" s="6" t="s">
        <v>19</v>
      </c>
      <c r="B25" s="12" t="str">
        <f aca="false">VLOOKUP($B$5,'Tabla Maestra'!$A$5:$V$16,12,FALSE())</f>
        <v> Up to 320,000 days of minimum wage (~USD 100K-110K)</v>
      </c>
      <c r="C25" s="12"/>
      <c r="D25" s="12"/>
      <c r="E25" s="12"/>
    </row>
    <row r="27" customFormat="false" ht="16.15" hidden="false" customHeight="false" outlineLevel="0" collapsed="false">
      <c r="A27" s="8" t="s">
        <v>20</v>
      </c>
      <c r="B27" s="8"/>
      <c r="C27" s="8"/>
      <c r="D27" s="8"/>
      <c r="E27" s="8"/>
    </row>
    <row r="28" customFormat="false" ht="15" hidden="false" customHeight="false" outlineLevel="0" collapsed="false">
      <c r="A28" s="13" t="s">
        <v>21</v>
      </c>
      <c r="B28" s="13" t="s">
        <v>22</v>
      </c>
      <c r="C28" s="13" t="s">
        <v>23</v>
      </c>
    </row>
    <row r="29" customFormat="false" ht="27.75" hidden="false" customHeight="true" outlineLevel="0" collapsed="false">
      <c r="A29" s="14" t="s">
        <v>24</v>
      </c>
      <c r="B29" s="15" t="str">
        <f aca="false">VLOOKUP($B$5,'Tabla Maestra'!$A$5:$V$16,14,FALSE())</f>
        <v> Highly recommended</v>
      </c>
      <c r="C29" s="16" t="s">
        <v>25</v>
      </c>
      <c r="D29" s="16"/>
      <c r="E29" s="16"/>
    </row>
    <row r="30" customFormat="false" ht="27.75" hidden="false" customHeight="true" outlineLevel="0" collapsed="false">
      <c r="A30" s="14" t="s">
        <v>26</v>
      </c>
      <c r="B30" s="15" t="str">
        <f aca="false">VLOOKUP($B$5,'Tabla Maestra'!$A$5:$V$16,15,FALSE())</f>
        <v> Recommended</v>
      </c>
      <c r="C30" s="16" t="s">
        <v>27</v>
      </c>
      <c r="D30" s="16"/>
      <c r="E30" s="16"/>
    </row>
    <row r="31" customFormat="false" ht="27.75" hidden="false" customHeight="true" outlineLevel="0" collapsed="false">
      <c r="A31" s="14" t="s">
        <v>28</v>
      </c>
      <c r="B31" s="15" t="str">
        <f aca="false">VLOOKUP($B$5,'Tabla Maestra'!$A$5:$V$16,16,FALSE())</f>
        <v> Recommended</v>
      </c>
      <c r="C31" s="16" t="s">
        <v>29</v>
      </c>
      <c r="D31" s="16"/>
      <c r="E31" s="16"/>
    </row>
    <row r="32" customFormat="false" ht="27.75" hidden="false" customHeight="true" outlineLevel="0" collapsed="false">
      <c r="A32" s="14" t="s">
        <v>30</v>
      </c>
      <c r="B32" s="15" t="str">
        <f aca="false">VLOOKUP($B$5,'Tabla Maestra'!$A$5:$V$16,17,FALSE())</f>
        <v> Recommended</v>
      </c>
      <c r="C32" s="16" t="s">
        <v>31</v>
      </c>
      <c r="D32" s="16"/>
      <c r="E32" s="16"/>
    </row>
    <row r="33" customFormat="false" ht="27.75" hidden="false" customHeight="true" outlineLevel="0" collapsed="false">
      <c r="A33" s="14" t="s">
        <v>32</v>
      </c>
      <c r="B33" s="15" t="str">
        <f aca="false">VLOOKUP($B$5,'Tabla Maestra'!$A$5:$V$16,18,FALSE())</f>
        <v> Reference</v>
      </c>
      <c r="C33" s="16" t="s">
        <v>33</v>
      </c>
      <c r="D33" s="16"/>
      <c r="E33" s="16"/>
    </row>
    <row r="34" customFormat="false" ht="27.75" hidden="false" customHeight="true" outlineLevel="0" collapsed="false">
      <c r="A34" s="14" t="s">
        <v>34</v>
      </c>
      <c r="B34" s="15" t="str">
        <f aca="false">VLOOKUP($B$5,'Tabla Maestra'!$A$5:$V$16,19,FALSE())</f>
        <v> Reference</v>
      </c>
      <c r="C34" s="16" t="s">
        <v>35</v>
      </c>
      <c r="D34" s="16"/>
      <c r="E34" s="16"/>
    </row>
    <row r="36" customFormat="false" ht="16.15" hidden="false" customHeight="false" outlineLevel="0" collapsed="false">
      <c r="A36" s="8" t="s">
        <v>36</v>
      </c>
      <c r="B36" s="8"/>
      <c r="C36" s="8"/>
      <c r="D36" s="8"/>
      <c r="E36" s="8"/>
    </row>
    <row r="37" customFormat="false" ht="39.75" hidden="false" customHeight="true" outlineLevel="0" collapsed="false">
      <c r="A37" s="17" t="s">
        <v>37</v>
      </c>
      <c r="B37" s="18" t="str">
        <f aca="false">VLOOKUP($B$5,'Tabla Maestra'!$A$5:$V$16,21,FALSE())</f>
        <v> CONDUSEF (finance), COFEPRIS (health), CNBV</v>
      </c>
      <c r="C37" s="18"/>
      <c r="D37" s="18"/>
      <c r="E37" s="18"/>
    </row>
    <row r="38" customFormat="false" ht="60" hidden="false" customHeight="true" outlineLevel="0" collapsed="false">
      <c r="A38" s="17" t="s">
        <v>38</v>
      </c>
      <c r="B38" s="18" t="str">
        <f aca="false">VLOOKUP($B$5,'Tabla Maestra'!$A$5:$V$16,22,FALSE())</f>
        <v> The 2024 reform brings Mexico closer to international standards. Greater focus on transfers and the rights of the data subject.</v>
      </c>
      <c r="C38" s="18"/>
      <c r="D38" s="18"/>
      <c r="E38" s="18"/>
    </row>
    <row r="41" customFormat="false" ht="16.15" hidden="false" customHeight="false" outlineLevel="0" collapsed="false">
      <c r="A41" s="19" t="s">
        <v>39</v>
      </c>
      <c r="B41" s="19"/>
      <c r="C41" s="19"/>
      <c r="D41" s="19"/>
      <c r="E41" s="19"/>
    </row>
    <row r="42" customFormat="false" ht="15" hidden="false" customHeight="false" outlineLevel="0" collapsed="false">
      <c r="A42" s="20" t="s">
        <v>40</v>
      </c>
      <c r="B42" s="20"/>
      <c r="C42" s="20"/>
      <c r="D42" s="20"/>
      <c r="E42" s="20"/>
    </row>
    <row r="43" customFormat="false" ht="15" hidden="false" customHeight="false" outlineLevel="0" collapsed="false">
      <c r="A43" s="13" t="s">
        <v>41</v>
      </c>
      <c r="B43" s="13" t="s">
        <v>42</v>
      </c>
      <c r="C43" s="13" t="s">
        <v>43</v>
      </c>
    </row>
    <row r="44" customFormat="false" ht="21.75" hidden="false" customHeight="true" outlineLevel="0" collapsed="false">
      <c r="A44" s="16" t="s">
        <v>44</v>
      </c>
      <c r="B44" s="21"/>
      <c r="C44" s="22"/>
      <c r="D44" s="22"/>
      <c r="E44" s="22"/>
    </row>
    <row r="45" customFormat="false" ht="21.75" hidden="false" customHeight="true" outlineLevel="0" collapsed="false">
      <c r="A45" s="16" t="s">
        <v>45</v>
      </c>
      <c r="B45" s="21"/>
      <c r="C45" s="22"/>
      <c r="D45" s="22"/>
      <c r="E45" s="22"/>
    </row>
    <row r="46" customFormat="false" ht="21.75" hidden="false" customHeight="true" outlineLevel="0" collapsed="false">
      <c r="A46" s="16" t="s">
        <v>46</v>
      </c>
      <c r="B46" s="21"/>
      <c r="C46" s="22"/>
      <c r="D46" s="22"/>
      <c r="E46" s="22"/>
    </row>
    <row r="47" customFormat="false" ht="21.75" hidden="false" customHeight="true" outlineLevel="0" collapsed="false">
      <c r="A47" s="16" t="s">
        <v>47</v>
      </c>
      <c r="B47" s="21"/>
      <c r="C47" s="22"/>
      <c r="D47" s="22"/>
      <c r="E47" s="22"/>
    </row>
    <row r="48" customFormat="false" ht="21.75" hidden="false" customHeight="true" outlineLevel="0" collapsed="false">
      <c r="A48" s="16" t="s">
        <v>48</v>
      </c>
      <c r="B48" s="21"/>
      <c r="C48" s="22"/>
      <c r="D48" s="22"/>
      <c r="E48" s="22"/>
    </row>
    <row r="49" customFormat="false" ht="21.75" hidden="false" customHeight="true" outlineLevel="0" collapsed="false">
      <c r="A49" s="16" t="s">
        <v>49</v>
      </c>
      <c r="B49" s="21"/>
      <c r="C49" s="22"/>
      <c r="D49" s="22"/>
      <c r="E49" s="22"/>
    </row>
    <row r="50" customFormat="false" ht="21.75" hidden="false" customHeight="true" outlineLevel="0" collapsed="false">
      <c r="A50" s="16" t="s">
        <v>50</v>
      </c>
      <c r="B50" s="21"/>
      <c r="C50" s="22"/>
      <c r="D50" s="22"/>
      <c r="E50" s="22"/>
    </row>
    <row r="51" customFormat="false" ht="21.75" hidden="false" customHeight="true" outlineLevel="0" collapsed="false">
      <c r="A51" s="16" t="s">
        <v>51</v>
      </c>
      <c r="B51" s="21"/>
      <c r="C51" s="22"/>
      <c r="D51" s="22"/>
      <c r="E51" s="22"/>
    </row>
    <row r="52" customFormat="false" ht="21.75" hidden="false" customHeight="true" outlineLevel="0" collapsed="false">
      <c r="A52" s="16" t="s">
        <v>52</v>
      </c>
      <c r="B52" s="21"/>
      <c r="C52" s="22"/>
      <c r="D52" s="22"/>
      <c r="E52" s="22"/>
    </row>
    <row r="53" customFormat="false" ht="21.75" hidden="false" customHeight="true" outlineLevel="0" collapsed="false">
      <c r="A53" s="16" t="s">
        <v>53</v>
      </c>
      <c r="B53" s="21"/>
      <c r="C53" s="22"/>
      <c r="D53" s="22"/>
      <c r="E53" s="22"/>
    </row>
    <row r="54" customFormat="false" ht="21.75" hidden="false" customHeight="true" outlineLevel="0" collapsed="false">
      <c r="A54" s="16" t="s">
        <v>54</v>
      </c>
      <c r="B54" s="21"/>
      <c r="C54" s="22"/>
      <c r="D54" s="22"/>
      <c r="E54" s="22"/>
    </row>
    <row r="55" customFormat="false" ht="21.75" hidden="false" customHeight="true" outlineLevel="0" collapsed="false">
      <c r="A55" s="16" t="s">
        <v>55</v>
      </c>
      <c r="B55" s="21"/>
      <c r="C55" s="22"/>
      <c r="D55" s="22"/>
      <c r="E55" s="22"/>
    </row>
    <row r="56" customFormat="false" ht="21.75" hidden="false" customHeight="true" outlineLevel="0" collapsed="false">
      <c r="A56" s="16" t="s">
        <v>56</v>
      </c>
      <c r="B56" s="21"/>
      <c r="C56" s="22"/>
      <c r="D56" s="22"/>
      <c r="E56" s="22"/>
    </row>
    <row r="57" customFormat="false" ht="21.75" hidden="false" customHeight="true" outlineLevel="0" collapsed="false">
      <c r="A57" s="16" t="s">
        <v>57</v>
      </c>
      <c r="B57" s="21"/>
      <c r="C57" s="22"/>
      <c r="D57" s="22"/>
      <c r="E57" s="22"/>
    </row>
    <row r="58" customFormat="false" ht="21.75" hidden="false" customHeight="true" outlineLevel="0" collapsed="false">
      <c r="A58" s="16" t="s">
        <v>58</v>
      </c>
      <c r="B58" s="21"/>
      <c r="C58" s="22"/>
      <c r="D58" s="22"/>
      <c r="E58" s="22"/>
    </row>
    <row r="60" customFormat="false" ht="15" hidden="false" customHeight="false" outlineLevel="0" collapsed="false">
      <c r="A60" s="23" t="s">
        <v>59</v>
      </c>
      <c r="B60" s="23"/>
      <c r="C60" s="23"/>
    </row>
    <row r="61" customFormat="false" ht="16.15" hidden="false" customHeight="false" outlineLevel="0" collapsed="false">
      <c r="A61" s="24" t="s">
        <v>60</v>
      </c>
      <c r="B61" s="25" t="n">
        <f aca="false">COUNTIF(B44:B58,"Implementado")</f>
        <v>0</v>
      </c>
    </row>
    <row r="62" customFormat="false" ht="16.15" hidden="false" customHeight="false" outlineLevel="0" collapsed="false">
      <c r="A62" s="24" t="s">
        <v>61</v>
      </c>
      <c r="B62" s="26" t="n">
        <f aca="false">COUNTIF(B44:B58,"Parcial")</f>
        <v>0</v>
      </c>
    </row>
    <row r="63" customFormat="false" ht="16.15" hidden="false" customHeight="false" outlineLevel="0" collapsed="false">
      <c r="A63" s="24" t="s">
        <v>62</v>
      </c>
      <c r="B63" s="27" t="n">
        <f aca="false">COUNTIF(B44:B58,"Pendiente")</f>
        <v>0</v>
      </c>
    </row>
    <row r="64" customFormat="false" ht="16.15" hidden="false" customHeight="false" outlineLevel="0" collapsed="false">
      <c r="A64" s="24" t="s">
        <v>63</v>
      </c>
      <c r="B64" s="28" t="n">
        <f aca="false">COUNTIF(B44:B58,"No aplica")</f>
        <v>0</v>
      </c>
    </row>
    <row r="65" customFormat="false" ht="17.35" hidden="false" customHeight="false" outlineLevel="0" collapsed="false">
      <c r="A65" s="29" t="s">
        <v>64</v>
      </c>
      <c r="B65" s="30" t="n">
        <f aca="false">IFERROR((COUNTIF(B44:B58,"Implementado")+COUNTIF(B44:B58,"Parcial")*0.5)/(COUNTIF(B44:B58,"Implementado")+COUNTIF(B44:B58,"Parcial")+COUNTIF(B44:B58,"Pendiente")),0)</f>
        <v>0</v>
      </c>
    </row>
  </sheetData>
  <mergeCells count="47">
    <mergeCell ref="A1:E1"/>
    <mergeCell ref="A2:E2"/>
    <mergeCell ref="B5:D5"/>
    <mergeCell ref="B7:C7"/>
    <mergeCell ref="B8:E8"/>
    <mergeCell ref="A10:E10"/>
    <mergeCell ref="B11:E11"/>
    <mergeCell ref="B12:E12"/>
    <mergeCell ref="B13:E13"/>
    <mergeCell ref="B14:E14"/>
    <mergeCell ref="A16:E16"/>
    <mergeCell ref="B17:E17"/>
    <mergeCell ref="B18:E18"/>
    <mergeCell ref="B19:E19"/>
    <mergeCell ref="B20:E20"/>
    <mergeCell ref="B21:E21"/>
    <mergeCell ref="B22:E22"/>
    <mergeCell ref="A24:E24"/>
    <mergeCell ref="B25:E25"/>
    <mergeCell ref="A27:E27"/>
    <mergeCell ref="C29:E29"/>
    <mergeCell ref="C30:E30"/>
    <mergeCell ref="C31:E31"/>
    <mergeCell ref="C32:E32"/>
    <mergeCell ref="C33:E33"/>
    <mergeCell ref="C34:E34"/>
    <mergeCell ref="A36:E36"/>
    <mergeCell ref="B37:E37"/>
    <mergeCell ref="B38:E38"/>
    <mergeCell ref="A41:E41"/>
    <mergeCell ref="A42:E42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A60:C60"/>
  </mergeCells>
  <dataValidations count="2">
    <dataValidation allowBlank="false" errorStyle="stop" operator="between" showDropDown="false" showErrorMessage="false" showInputMessage="false" sqref="B5" type="list">
      <formula1>'Tabla Maestra'!$A$5:$A$16</formula1>
      <formula2>0</formula2>
    </dataValidation>
    <dataValidation allowBlank="true" errorStyle="stop" operator="between" showDropDown="false" showErrorMessage="false" showInputMessage="false" sqref="B44:B58" type="list">
      <formula1>"Implementado,Parcial,Pendiente,No aplica"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K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6" min="6" style="0" width="28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28"/>
    <col collapsed="false" customWidth="true" hidden="false" outlineLevel="0" max="10" min="10" style="0" width="16"/>
    <col collapsed="false" customWidth="true" hidden="false" outlineLevel="0" max="11" min="11" style="0" width="24"/>
  </cols>
  <sheetData>
    <row r="1" customFormat="false" ht="27.75" hidden="false" customHeight="true" outlineLevel="0" collapsed="false">
      <c r="A1" s="31" t="s">
        <v>65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customFormat="false" ht="15" hidden="false" customHeight="false" outlineLevel="0" collapsed="false">
      <c r="A2" s="2" t="s">
        <v>66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31.5" hidden="false" customHeight="true" outlineLevel="0" collapsed="false">
      <c r="A4" s="13" t="s">
        <v>67</v>
      </c>
      <c r="B4" s="13" t="s">
        <v>68</v>
      </c>
      <c r="C4" s="13" t="s">
        <v>69</v>
      </c>
      <c r="D4" s="13" t="s">
        <v>70</v>
      </c>
      <c r="E4" s="13" t="s">
        <v>71</v>
      </c>
      <c r="F4" s="13" t="s">
        <v>72</v>
      </c>
      <c r="G4" s="13" t="s">
        <v>73</v>
      </c>
      <c r="H4" s="13" t="s">
        <v>74</v>
      </c>
      <c r="I4" s="13" t="s">
        <v>75</v>
      </c>
      <c r="J4" s="13" t="s">
        <v>76</v>
      </c>
      <c r="K4" s="13" t="s">
        <v>77</v>
      </c>
    </row>
    <row r="5" customFormat="false" ht="69.75" hidden="false" customHeight="true" outlineLevel="0" collapsed="false">
      <c r="A5" s="32" t="n">
        <v>1</v>
      </c>
      <c r="B5" s="33" t="s">
        <v>78</v>
      </c>
      <c r="C5" s="34" t="s">
        <v>79</v>
      </c>
      <c r="D5" s="34" t="s">
        <v>80</v>
      </c>
      <c r="E5" s="34" t="s">
        <v>81</v>
      </c>
      <c r="F5" s="34" t="s">
        <v>82</v>
      </c>
      <c r="G5" s="35" t="s">
        <v>83</v>
      </c>
      <c r="H5" s="15" t="n">
        <v>5</v>
      </c>
      <c r="I5" s="34" t="s">
        <v>84</v>
      </c>
      <c r="J5" s="21"/>
      <c r="K5" s="36"/>
    </row>
    <row r="6" customFormat="false" ht="69.75" hidden="false" customHeight="true" outlineLevel="0" collapsed="false">
      <c r="A6" s="32" t="n">
        <v>2</v>
      </c>
      <c r="B6" s="33" t="s">
        <v>85</v>
      </c>
      <c r="C6" s="34" t="s">
        <v>86</v>
      </c>
      <c r="D6" s="34" t="s">
        <v>80</v>
      </c>
      <c r="E6" s="34" t="s">
        <v>87</v>
      </c>
      <c r="F6" s="34" t="s">
        <v>88</v>
      </c>
      <c r="G6" s="35" t="s">
        <v>89</v>
      </c>
      <c r="H6" s="15" t="n">
        <v>5</v>
      </c>
      <c r="I6" s="34" t="s">
        <v>90</v>
      </c>
      <c r="J6" s="21"/>
      <c r="K6" s="36"/>
    </row>
    <row r="7" customFormat="false" ht="69.75" hidden="false" customHeight="true" outlineLevel="0" collapsed="false">
      <c r="A7" s="32" t="n">
        <v>3</v>
      </c>
      <c r="B7" s="33" t="s">
        <v>91</v>
      </c>
      <c r="C7" s="34" t="s">
        <v>92</v>
      </c>
      <c r="D7" s="34" t="s">
        <v>80</v>
      </c>
      <c r="E7" s="34" t="s">
        <v>93</v>
      </c>
      <c r="F7" s="34" t="s">
        <v>94</v>
      </c>
      <c r="G7" s="35" t="s">
        <v>89</v>
      </c>
      <c r="H7" s="15" t="n">
        <v>4</v>
      </c>
      <c r="I7" s="34" t="s">
        <v>95</v>
      </c>
      <c r="J7" s="21"/>
      <c r="K7" s="36"/>
    </row>
    <row r="8" customFormat="false" ht="69.75" hidden="false" customHeight="true" outlineLevel="0" collapsed="false">
      <c r="A8" s="32" t="n">
        <v>4</v>
      </c>
      <c r="B8" s="33" t="s">
        <v>96</v>
      </c>
      <c r="C8" s="34" t="s">
        <v>97</v>
      </c>
      <c r="D8" s="34" t="s">
        <v>80</v>
      </c>
      <c r="E8" s="34" t="s">
        <v>98</v>
      </c>
      <c r="F8" s="34" t="s">
        <v>99</v>
      </c>
      <c r="G8" s="35" t="s">
        <v>83</v>
      </c>
      <c r="H8" s="15" t="n">
        <v>4</v>
      </c>
      <c r="I8" s="34" t="s">
        <v>100</v>
      </c>
      <c r="J8" s="21"/>
      <c r="K8" s="36"/>
    </row>
    <row r="9" customFormat="false" ht="69.75" hidden="false" customHeight="true" outlineLevel="0" collapsed="false">
      <c r="A9" s="32" t="n">
        <v>5</v>
      </c>
      <c r="B9" s="33" t="s">
        <v>101</v>
      </c>
      <c r="C9" s="34" t="s">
        <v>102</v>
      </c>
      <c r="D9" s="34" t="s">
        <v>103</v>
      </c>
      <c r="E9" s="34" t="s">
        <v>104</v>
      </c>
      <c r="F9" s="34" t="s">
        <v>105</v>
      </c>
      <c r="G9" s="35" t="s">
        <v>83</v>
      </c>
      <c r="H9" s="15" t="n">
        <v>4</v>
      </c>
      <c r="I9" s="34" t="s">
        <v>106</v>
      </c>
      <c r="J9" s="21"/>
      <c r="K9" s="36"/>
    </row>
    <row r="10" customFormat="false" ht="69.75" hidden="false" customHeight="true" outlineLevel="0" collapsed="false">
      <c r="A10" s="32" t="n">
        <v>6</v>
      </c>
      <c r="B10" s="33" t="s">
        <v>107</v>
      </c>
      <c r="C10" s="34" t="s">
        <v>108</v>
      </c>
      <c r="D10" s="34" t="s">
        <v>80</v>
      </c>
      <c r="E10" s="34" t="s">
        <v>109</v>
      </c>
      <c r="F10" s="34" t="s">
        <v>110</v>
      </c>
      <c r="G10" s="35" t="s">
        <v>89</v>
      </c>
      <c r="H10" s="15" t="n">
        <v>4</v>
      </c>
      <c r="I10" s="34" t="s">
        <v>111</v>
      </c>
      <c r="J10" s="21"/>
      <c r="K10" s="36"/>
    </row>
    <row r="11" customFormat="false" ht="69.75" hidden="false" customHeight="true" outlineLevel="0" collapsed="false">
      <c r="A11" s="32" t="n">
        <v>7</v>
      </c>
      <c r="B11" s="33" t="s">
        <v>112</v>
      </c>
      <c r="C11" s="34" t="s">
        <v>113</v>
      </c>
      <c r="D11" s="34" t="s">
        <v>114</v>
      </c>
      <c r="E11" s="34" t="s">
        <v>115</v>
      </c>
      <c r="F11" s="34" t="s">
        <v>116</v>
      </c>
      <c r="G11" s="35" t="s">
        <v>89</v>
      </c>
      <c r="H11" s="15" t="n">
        <v>5</v>
      </c>
      <c r="I11" s="34" t="s">
        <v>117</v>
      </c>
      <c r="J11" s="21"/>
      <c r="K11" s="36"/>
    </row>
    <row r="12" customFormat="false" ht="69.75" hidden="false" customHeight="true" outlineLevel="0" collapsed="false">
      <c r="A12" s="32" t="n">
        <v>8</v>
      </c>
      <c r="B12" s="33" t="s">
        <v>118</v>
      </c>
      <c r="C12" s="34" t="s">
        <v>119</v>
      </c>
      <c r="D12" s="34" t="s">
        <v>103</v>
      </c>
      <c r="E12" s="34" t="s">
        <v>120</v>
      </c>
      <c r="F12" s="34" t="s">
        <v>121</v>
      </c>
      <c r="G12" s="35" t="s">
        <v>83</v>
      </c>
      <c r="H12" s="15" t="n">
        <v>5</v>
      </c>
      <c r="I12" s="34" t="s">
        <v>122</v>
      </c>
      <c r="J12" s="21"/>
      <c r="K12" s="36"/>
    </row>
    <row r="13" customFormat="false" ht="69.75" hidden="false" customHeight="true" outlineLevel="0" collapsed="false">
      <c r="A13" s="32" t="n">
        <v>9</v>
      </c>
      <c r="B13" s="33" t="s">
        <v>123</v>
      </c>
      <c r="C13" s="34" t="s">
        <v>124</v>
      </c>
      <c r="D13" s="34" t="s">
        <v>125</v>
      </c>
      <c r="E13" s="34" t="s">
        <v>126</v>
      </c>
      <c r="F13" s="34" t="s">
        <v>127</v>
      </c>
      <c r="G13" s="35" t="s">
        <v>83</v>
      </c>
      <c r="H13" s="15" t="n">
        <v>5</v>
      </c>
      <c r="I13" s="34" t="s">
        <v>128</v>
      </c>
      <c r="J13" s="21"/>
      <c r="K13" s="36"/>
    </row>
    <row r="14" customFormat="false" ht="69.75" hidden="false" customHeight="true" outlineLevel="0" collapsed="false">
      <c r="A14" s="32" t="n">
        <v>10</v>
      </c>
      <c r="B14" s="33" t="s">
        <v>129</v>
      </c>
      <c r="C14" s="34" t="s">
        <v>130</v>
      </c>
      <c r="D14" s="34" t="s">
        <v>103</v>
      </c>
      <c r="E14" s="34" t="s">
        <v>131</v>
      </c>
      <c r="F14" s="34" t="s">
        <v>132</v>
      </c>
      <c r="G14" s="35" t="s">
        <v>83</v>
      </c>
      <c r="H14" s="15" t="n">
        <v>3</v>
      </c>
      <c r="I14" s="34" t="s">
        <v>133</v>
      </c>
      <c r="J14" s="21"/>
      <c r="K14" s="36"/>
    </row>
    <row r="15" customFormat="false" ht="69.75" hidden="false" customHeight="true" outlineLevel="0" collapsed="false">
      <c r="A15" s="32" t="n">
        <v>11</v>
      </c>
      <c r="B15" s="33" t="s">
        <v>134</v>
      </c>
      <c r="C15" s="34" t="s">
        <v>135</v>
      </c>
      <c r="D15" s="34" t="s">
        <v>103</v>
      </c>
      <c r="E15" s="34" t="s">
        <v>136</v>
      </c>
      <c r="F15" s="34" t="s">
        <v>137</v>
      </c>
      <c r="G15" s="35" t="s">
        <v>83</v>
      </c>
      <c r="H15" s="15" t="n">
        <v>3</v>
      </c>
      <c r="I15" s="34" t="s">
        <v>138</v>
      </c>
      <c r="J15" s="21"/>
      <c r="K15" s="36"/>
    </row>
    <row r="16" customFormat="false" ht="69.75" hidden="false" customHeight="true" outlineLevel="0" collapsed="false">
      <c r="A16" s="32" t="n">
        <v>12</v>
      </c>
      <c r="B16" s="33" t="s">
        <v>139</v>
      </c>
      <c r="C16" s="34" t="s">
        <v>140</v>
      </c>
      <c r="D16" s="34" t="s">
        <v>103</v>
      </c>
      <c r="E16" s="34" t="s">
        <v>141</v>
      </c>
      <c r="F16" s="34" t="s">
        <v>142</v>
      </c>
      <c r="G16" s="35" t="s">
        <v>83</v>
      </c>
      <c r="H16" s="15" t="n">
        <v>3</v>
      </c>
      <c r="I16" s="34" t="s">
        <v>143</v>
      </c>
      <c r="J16" s="21"/>
      <c r="K16" s="36"/>
    </row>
    <row r="17" customFormat="false" ht="69.75" hidden="false" customHeight="true" outlineLevel="0" collapsed="false">
      <c r="A17" s="32" t="n">
        <v>13</v>
      </c>
      <c r="B17" s="33" t="s">
        <v>144</v>
      </c>
      <c r="C17" s="34" t="s">
        <v>145</v>
      </c>
      <c r="D17" s="34" t="s">
        <v>80</v>
      </c>
      <c r="E17" s="34" t="s">
        <v>146</v>
      </c>
      <c r="F17" s="34" t="s">
        <v>147</v>
      </c>
      <c r="G17" s="35" t="s">
        <v>83</v>
      </c>
      <c r="H17" s="15" t="n">
        <v>3</v>
      </c>
      <c r="I17" s="34" t="s">
        <v>148</v>
      </c>
      <c r="J17" s="21"/>
      <c r="K17" s="36"/>
    </row>
    <row r="19" customFormat="false" ht="15" hidden="false" customHeight="false" outlineLevel="0" collapsed="false">
      <c r="A19" s="23" t="s">
        <v>149</v>
      </c>
      <c r="B19" s="23"/>
      <c r="C19" s="23"/>
      <c r="D19" s="23"/>
    </row>
    <row r="20" customFormat="false" ht="17.35" hidden="false" customHeight="false" outlineLevel="0" collapsed="false">
      <c r="A20" s="6" t="s">
        <v>150</v>
      </c>
      <c r="B20" s="37" t="n">
        <f aca="false">COUNTIF(J5:J17,"Sí")</f>
        <v>0</v>
      </c>
    </row>
    <row r="21" customFormat="false" ht="17.35" hidden="false" customHeight="false" outlineLevel="0" collapsed="false">
      <c r="A21" s="6" t="s">
        <v>151</v>
      </c>
      <c r="B21" s="38" t="n">
        <f aca="false">COUNTIF(J5:J17,"Tal vez")</f>
        <v>0</v>
      </c>
    </row>
    <row r="22" customFormat="false" ht="17.35" hidden="false" customHeight="false" outlineLevel="0" collapsed="false">
      <c r="A22" s="29" t="s">
        <v>152</v>
      </c>
      <c r="B22" s="39" t="n">
        <f aca="false">COUNTIF(J5:J17,"Sí")+COUNTIF(J5:J17,"Tal vez")</f>
        <v>0</v>
      </c>
    </row>
  </sheetData>
  <mergeCells count="3">
    <mergeCell ref="A1:K1"/>
    <mergeCell ref="A2:K2"/>
    <mergeCell ref="A19:D19"/>
  </mergeCells>
  <dataValidations count="1">
    <dataValidation allowBlank="true" errorStyle="stop" operator="between" showDropDown="false" showErrorMessage="false" showInputMessage="false" sqref="J5:J17" type="list">
      <formula1>"Sí,No,Tal vez"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6"/>
    <col collapsed="false" customWidth="true" hidden="false" outlineLevel="0" max="3" min="3" style="0" width="22"/>
  </cols>
  <sheetData>
    <row r="1" customFormat="false" ht="27.75" hidden="false" customHeight="true" outlineLevel="0" collapsed="false">
      <c r="A1" s="31" t="s">
        <v>153</v>
      </c>
      <c r="B1" s="31"/>
      <c r="C1" s="31"/>
      <c r="D1" s="31"/>
      <c r="E1" s="31"/>
    </row>
    <row r="2" customFormat="false" ht="15" hidden="false" customHeight="false" outlineLevel="0" collapsed="false">
      <c r="A2" s="2" t="s">
        <v>154</v>
      </c>
      <c r="B2" s="2"/>
      <c r="C2" s="2"/>
      <c r="D2" s="2"/>
      <c r="E2" s="2"/>
    </row>
    <row r="4" customFormat="false" ht="15" hidden="false" customHeight="false" outlineLevel="0" collapsed="false">
      <c r="A4" s="29" t="s">
        <v>155</v>
      </c>
      <c r="B4" s="40" t="s">
        <v>156</v>
      </c>
      <c r="C4" s="40"/>
      <c r="D4" s="40"/>
      <c r="E4" s="40"/>
    </row>
    <row r="6" customFormat="false" ht="15" hidden="false" customHeight="false" outlineLevel="0" collapsed="false">
      <c r="A6" s="13" t="s">
        <v>67</v>
      </c>
      <c r="B6" s="13" t="s">
        <v>157</v>
      </c>
      <c r="C6" s="13" t="s">
        <v>158</v>
      </c>
    </row>
    <row r="8" customFormat="false" ht="15" hidden="false" customHeight="false" outlineLevel="0" collapsed="false">
      <c r="A8" s="41" t="s">
        <v>159</v>
      </c>
      <c r="B8" s="41"/>
      <c r="C8" s="41"/>
    </row>
    <row r="9" customFormat="false" ht="30" hidden="false" customHeight="true" outlineLevel="0" collapsed="false">
      <c r="A9" s="42" t="s">
        <v>160</v>
      </c>
      <c r="B9" s="10" t="s">
        <v>161</v>
      </c>
      <c r="C9" s="43"/>
    </row>
    <row r="10" customFormat="false" ht="30" hidden="false" customHeight="true" outlineLevel="0" collapsed="false">
      <c r="A10" s="42" t="s">
        <v>162</v>
      </c>
      <c r="B10" s="10" t="s">
        <v>163</v>
      </c>
      <c r="C10" s="43"/>
    </row>
    <row r="11" customFormat="false" ht="30" hidden="false" customHeight="true" outlineLevel="0" collapsed="false">
      <c r="A11" s="42" t="s">
        <v>164</v>
      </c>
      <c r="B11" s="10" t="s">
        <v>165</v>
      </c>
      <c r="C11" s="43"/>
    </row>
    <row r="12" customFormat="false" ht="30" hidden="false" customHeight="true" outlineLevel="0" collapsed="false">
      <c r="A12" s="42" t="s">
        <v>166</v>
      </c>
      <c r="B12" s="10" t="s">
        <v>167</v>
      </c>
      <c r="C12" s="43"/>
    </row>
    <row r="14" customFormat="false" ht="15" hidden="false" customHeight="false" outlineLevel="0" collapsed="false">
      <c r="A14" s="44" t="s">
        <v>168</v>
      </c>
      <c r="B14" s="44"/>
      <c r="C14" s="44"/>
    </row>
    <row r="15" customFormat="false" ht="30" hidden="false" customHeight="true" outlineLevel="0" collapsed="false">
      <c r="A15" s="45" t="s">
        <v>169</v>
      </c>
      <c r="B15" s="10" t="s">
        <v>170</v>
      </c>
      <c r="C15" s="43"/>
    </row>
    <row r="16" customFormat="false" ht="30" hidden="false" customHeight="true" outlineLevel="0" collapsed="false">
      <c r="A16" s="45" t="s">
        <v>171</v>
      </c>
      <c r="B16" s="10" t="s">
        <v>172</v>
      </c>
      <c r="C16" s="43"/>
    </row>
    <row r="17" customFormat="false" ht="30" hidden="false" customHeight="true" outlineLevel="0" collapsed="false">
      <c r="A17" s="45" t="s">
        <v>173</v>
      </c>
      <c r="B17" s="10" t="s">
        <v>174</v>
      </c>
      <c r="C17" s="43"/>
    </row>
    <row r="18" customFormat="false" ht="30" hidden="false" customHeight="true" outlineLevel="0" collapsed="false">
      <c r="A18" s="45" t="s">
        <v>175</v>
      </c>
      <c r="B18" s="10" t="s">
        <v>176</v>
      </c>
      <c r="C18" s="43"/>
    </row>
    <row r="20" customFormat="false" ht="15" hidden="false" customHeight="false" outlineLevel="0" collapsed="false">
      <c r="A20" s="44" t="s">
        <v>177</v>
      </c>
      <c r="B20" s="44"/>
      <c r="C20" s="44"/>
    </row>
    <row r="21" customFormat="false" ht="30" hidden="false" customHeight="true" outlineLevel="0" collapsed="false">
      <c r="A21" s="45" t="s">
        <v>178</v>
      </c>
      <c r="B21" s="10" t="s">
        <v>179</v>
      </c>
      <c r="C21" s="43"/>
    </row>
    <row r="22" customFormat="false" ht="30" hidden="false" customHeight="true" outlineLevel="0" collapsed="false">
      <c r="A22" s="45" t="s">
        <v>180</v>
      </c>
      <c r="B22" s="10" t="s">
        <v>181</v>
      </c>
      <c r="C22" s="43"/>
    </row>
    <row r="23" customFormat="false" ht="30" hidden="false" customHeight="true" outlineLevel="0" collapsed="false">
      <c r="A23" s="45" t="s">
        <v>182</v>
      </c>
      <c r="B23" s="10" t="s">
        <v>183</v>
      </c>
      <c r="C23" s="43"/>
    </row>
    <row r="24" customFormat="false" ht="30" hidden="false" customHeight="true" outlineLevel="0" collapsed="false">
      <c r="A24" s="45" t="s">
        <v>184</v>
      </c>
      <c r="B24" s="10" t="s">
        <v>185</v>
      </c>
      <c r="C24" s="43"/>
    </row>
    <row r="26" customFormat="false" ht="15" hidden="false" customHeight="false" outlineLevel="0" collapsed="false">
      <c r="A26" s="44" t="s">
        <v>186</v>
      </c>
      <c r="B26" s="44"/>
      <c r="C26" s="44"/>
    </row>
    <row r="27" customFormat="false" ht="30" hidden="false" customHeight="true" outlineLevel="0" collapsed="false">
      <c r="A27" s="45" t="s">
        <v>187</v>
      </c>
      <c r="B27" s="10" t="s">
        <v>188</v>
      </c>
      <c r="C27" s="43"/>
    </row>
    <row r="28" customFormat="false" ht="30" hidden="false" customHeight="true" outlineLevel="0" collapsed="false">
      <c r="A28" s="45" t="s">
        <v>189</v>
      </c>
      <c r="B28" s="10" t="s">
        <v>190</v>
      </c>
      <c r="C28" s="43"/>
    </row>
    <row r="29" customFormat="false" ht="30" hidden="false" customHeight="true" outlineLevel="0" collapsed="false">
      <c r="A29" s="45" t="s">
        <v>191</v>
      </c>
      <c r="B29" s="10" t="s">
        <v>192</v>
      </c>
      <c r="C29" s="43"/>
    </row>
    <row r="30" customFormat="false" ht="30" hidden="false" customHeight="true" outlineLevel="0" collapsed="false">
      <c r="A30" s="45" t="s">
        <v>193</v>
      </c>
      <c r="B30" s="10" t="s">
        <v>194</v>
      </c>
      <c r="C30" s="43"/>
    </row>
    <row r="33" customFormat="false" ht="16.15" hidden="false" customHeight="false" outlineLevel="0" collapsed="false">
      <c r="A33" s="8" t="s">
        <v>195</v>
      </c>
      <c r="B33" s="8"/>
      <c r="C33" s="8"/>
    </row>
    <row r="34" customFormat="false" ht="19.7" hidden="false" customHeight="false" outlineLevel="0" collapsed="false">
      <c r="A34" s="46" t="s">
        <v>196</v>
      </c>
      <c r="B34" s="47" t="n">
        <f aca="false">IFERROR(AVERAGE(C9:C12),0)</f>
        <v>0</v>
      </c>
      <c r="C34" s="48" t="str">
        <f aca="false">IF(B34=0,"Sin datos",IF(B34&gt;=3.5,"Pain ALTO",IF(B34&gt;=2.5,"Pain MEDIO","Pain BAJO")))</f>
        <v> No data</v>
      </c>
    </row>
    <row r="35" customFormat="false" ht="19.7" hidden="false" customHeight="false" outlineLevel="0" collapsed="false">
      <c r="A35" s="46" t="s">
        <v>197</v>
      </c>
      <c r="B35" s="49" t="n">
        <f aca="false">IFERROR(AVERAGE(C15:C18,C21:C24,C27:C30),0)</f>
        <v>0</v>
      </c>
      <c r="C35" s="48" t="str">
        <f aca="false">IF(B35=0,"Sin datos",IF(B35&gt;=3.5,"Readiness ALTA",IF(B35&gt;=2.5,"Readiness MEDIA","Readiness BAJA")))</f>
        <v> No data</v>
      </c>
    </row>
    <row r="37" customFormat="false" ht="31.5" hidden="false" customHeight="true" outlineLevel="0" collapsed="false">
      <c r="A37" s="50" t="s">
        <v>198</v>
      </c>
      <c r="B37" s="51" t="str">
        <f aca="false">IF(OR(B34=0,B35=0),"Completa primero el cuestionario",IF(AND(B34&gt;=3.5,B35&gt;=3.5),"QUICK WIN PRIORITARIO — Avanzar ahora",IF(AND(B34&gt;=3.5,B35&lt;3.5),"INVERTIR EN HABILITADORES — Pain alto pero falta readiness",IF(AND(B34&lt;3.5,B35&gt;=3.5),"OPORTUNIDAD SIN URGENCIA — Capacidad sí, pain no","AÚN NO ES MOMENTO — Construir capacidad antes"))))</f>
        <v> First, complete the questionnaire.</v>
      </c>
      <c r="C37" s="51"/>
    </row>
    <row r="40" customFormat="false" ht="16.15" hidden="false" customHeight="false" outlineLevel="0" collapsed="false">
      <c r="A40" s="8" t="s">
        <v>199</v>
      </c>
      <c r="B40" s="8"/>
      <c r="C40" s="8"/>
    </row>
    <row r="41" customFormat="false" ht="26.85" hidden="false" customHeight="false" outlineLevel="0" collapsed="false">
      <c r="B41" s="13" t="s">
        <v>200</v>
      </c>
      <c r="C41" s="13" t="s">
        <v>201</v>
      </c>
    </row>
    <row r="42" customFormat="false" ht="30" hidden="false" customHeight="true" outlineLevel="0" collapsed="false">
      <c r="A42" s="13" t="s">
        <v>202</v>
      </c>
      <c r="B42" s="52" t="s">
        <v>203</v>
      </c>
      <c r="C42" s="53" t="s">
        <v>204</v>
      </c>
    </row>
    <row r="43" customFormat="false" ht="30" hidden="false" customHeight="true" outlineLevel="0" collapsed="false">
      <c r="A43" s="13" t="s">
        <v>205</v>
      </c>
      <c r="B43" s="54" t="s">
        <v>206</v>
      </c>
      <c r="C43" s="55" t="s">
        <v>207</v>
      </c>
    </row>
  </sheetData>
  <mergeCells count="10">
    <mergeCell ref="A1:E1"/>
    <mergeCell ref="A2:E2"/>
    <mergeCell ref="B4:E4"/>
    <mergeCell ref="A8:C8"/>
    <mergeCell ref="A14:C14"/>
    <mergeCell ref="A20:C20"/>
    <mergeCell ref="A26:C26"/>
    <mergeCell ref="A33:C33"/>
    <mergeCell ref="B37:C37"/>
    <mergeCell ref="A40:C40"/>
  </mergeCells>
  <dataValidations count="1">
    <dataValidation allowBlank="true" error="Ingresa un valor entre 1 y 5" errorStyle="stop" errorTitle="Valor inválido" operator="between" showDropDown="false" showErrorMessage="false" showInputMessage="false" sqref="C9:C12 C15:C18 C21:C24 C27:C30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30"/>
  </cols>
  <sheetData>
    <row r="1" customFormat="false" ht="27.75" hidden="false" customHeight="true" outlineLevel="0" collapsed="false">
      <c r="A1" s="31" t="s">
        <v>208</v>
      </c>
      <c r="B1" s="31"/>
      <c r="C1" s="31"/>
      <c r="D1" s="31"/>
    </row>
    <row r="2" customFormat="false" ht="15" hidden="false" customHeight="false" outlineLevel="0" collapsed="false">
      <c r="A2" s="2" t="s">
        <v>209</v>
      </c>
      <c r="B2" s="2"/>
      <c r="C2" s="2"/>
      <c r="D2" s="2"/>
    </row>
    <row r="4" customFormat="false" ht="15" hidden="false" customHeight="true" outlineLevel="0" collapsed="false">
      <c r="A4" s="56" t="s">
        <v>210</v>
      </c>
      <c r="B4" s="56"/>
      <c r="C4" s="56"/>
      <c r="D4" s="56"/>
    </row>
    <row r="5" customFormat="false" ht="15" hidden="false" customHeight="true" outlineLevel="0" collapsed="false">
      <c r="A5" s="57" t="s">
        <v>211</v>
      </c>
      <c r="B5" s="57"/>
      <c r="C5" s="57"/>
      <c r="D5" s="57"/>
    </row>
    <row r="6" customFormat="false" ht="37.5" hidden="false" customHeight="true" outlineLevel="0" collapsed="false">
      <c r="A6" s="58" t="s">
        <v>212</v>
      </c>
      <c r="B6" s="58"/>
      <c r="C6" s="58"/>
      <c r="D6" s="58"/>
    </row>
    <row r="7" customFormat="false" ht="15" hidden="false" customHeight="true" outlineLevel="0" collapsed="false">
      <c r="A7" s="56" t="s">
        <v>213</v>
      </c>
      <c r="B7" s="56"/>
      <c r="C7" s="56"/>
      <c r="D7" s="56"/>
    </row>
    <row r="8" customFormat="false" ht="15" hidden="false" customHeight="true" outlineLevel="0" collapsed="false">
      <c r="A8" s="57" t="s">
        <v>214</v>
      </c>
      <c r="B8" s="57"/>
      <c r="C8" s="57"/>
      <c r="D8" s="57"/>
    </row>
    <row r="9" customFormat="false" ht="37.5" hidden="false" customHeight="true" outlineLevel="0" collapsed="false">
      <c r="A9" s="58" t="s">
        <v>215</v>
      </c>
      <c r="B9" s="58"/>
      <c r="C9" s="58"/>
      <c r="D9" s="58"/>
    </row>
    <row r="10" customFormat="false" ht="15" hidden="false" customHeight="true" outlineLevel="0" collapsed="false">
      <c r="A10" s="56" t="s">
        <v>216</v>
      </c>
      <c r="B10" s="56"/>
      <c r="C10" s="56"/>
      <c r="D10" s="56"/>
    </row>
    <row r="11" customFormat="false" ht="15" hidden="false" customHeight="true" outlineLevel="0" collapsed="false">
      <c r="A11" s="57" t="s">
        <v>217</v>
      </c>
      <c r="B11" s="57"/>
      <c r="C11" s="57"/>
      <c r="D11" s="57"/>
    </row>
    <row r="12" customFormat="false" ht="37.5" hidden="false" customHeight="true" outlineLevel="0" collapsed="false">
      <c r="A12" s="58" t="s">
        <v>218</v>
      </c>
      <c r="B12" s="58"/>
      <c r="C12" s="58"/>
      <c r="D12" s="58"/>
    </row>
    <row r="13" customFormat="false" ht="15" hidden="false" customHeight="true" outlineLevel="0" collapsed="false">
      <c r="A13" s="56" t="s">
        <v>219</v>
      </c>
      <c r="B13" s="56"/>
      <c r="C13" s="56"/>
      <c r="D13" s="56"/>
    </row>
    <row r="14" customFormat="false" ht="15" hidden="false" customHeight="true" outlineLevel="0" collapsed="false">
      <c r="A14" s="57" t="s">
        <v>220</v>
      </c>
      <c r="B14" s="57"/>
      <c r="C14" s="57"/>
      <c r="D14" s="57"/>
    </row>
    <row r="15" customFormat="false" ht="37.5" hidden="false" customHeight="true" outlineLevel="0" collapsed="false">
      <c r="A15" s="58" t="s">
        <v>221</v>
      </c>
      <c r="B15" s="58"/>
      <c r="C15" s="58"/>
      <c r="D15" s="58"/>
    </row>
    <row r="16" customFormat="false" ht="15" hidden="false" customHeight="true" outlineLevel="0" collapsed="false">
      <c r="A16" s="56" t="s">
        <v>222</v>
      </c>
      <c r="B16" s="56"/>
      <c r="C16" s="56"/>
      <c r="D16" s="56"/>
    </row>
    <row r="17" customFormat="false" ht="15" hidden="false" customHeight="true" outlineLevel="0" collapsed="false">
      <c r="A17" s="57" t="s">
        <v>223</v>
      </c>
      <c r="B17" s="57"/>
      <c r="C17" s="57"/>
      <c r="D17" s="57"/>
    </row>
    <row r="18" customFormat="false" ht="37.5" hidden="false" customHeight="true" outlineLevel="0" collapsed="false">
      <c r="A18" s="58" t="s">
        <v>224</v>
      </c>
      <c r="B18" s="58"/>
      <c r="C18" s="58"/>
      <c r="D18" s="58"/>
    </row>
    <row r="19" customFormat="false" ht="15" hidden="false" customHeight="true" outlineLevel="0" collapsed="false">
      <c r="A19" s="56" t="s">
        <v>225</v>
      </c>
      <c r="B19" s="56"/>
      <c r="C19" s="56"/>
      <c r="D19" s="56"/>
    </row>
    <row r="20" customFormat="false" ht="15" hidden="false" customHeight="true" outlineLevel="0" collapsed="false">
      <c r="A20" s="57" t="s">
        <v>226</v>
      </c>
      <c r="B20" s="57"/>
      <c r="C20" s="57"/>
      <c r="D20" s="57"/>
    </row>
    <row r="21" customFormat="false" ht="37.5" hidden="false" customHeight="true" outlineLevel="0" collapsed="false">
      <c r="A21" s="58" t="s">
        <v>227</v>
      </c>
      <c r="B21" s="58"/>
      <c r="C21" s="58"/>
      <c r="D21" s="58"/>
    </row>
    <row r="22" customFormat="false" ht="15" hidden="false" customHeight="true" outlineLevel="0" collapsed="false">
      <c r="A22" s="56" t="s">
        <v>228</v>
      </c>
      <c r="B22" s="56"/>
      <c r="C22" s="56"/>
      <c r="D22" s="56"/>
    </row>
    <row r="23" customFormat="false" ht="15" hidden="false" customHeight="true" outlineLevel="0" collapsed="false">
      <c r="A23" s="57" t="s">
        <v>229</v>
      </c>
      <c r="B23" s="57"/>
      <c r="C23" s="57"/>
      <c r="D23" s="57"/>
    </row>
    <row r="24" customFormat="false" ht="37.5" hidden="false" customHeight="true" outlineLevel="0" collapsed="false">
      <c r="A24" s="58" t="s">
        <v>230</v>
      </c>
      <c r="B24" s="58"/>
      <c r="C24" s="58"/>
      <c r="D24" s="58"/>
    </row>
    <row r="25" customFormat="false" ht="15" hidden="false" customHeight="true" outlineLevel="0" collapsed="false">
      <c r="A25" s="56" t="s">
        <v>231</v>
      </c>
      <c r="B25" s="56"/>
      <c r="C25" s="56"/>
      <c r="D25" s="56"/>
    </row>
    <row r="26" customFormat="false" ht="15" hidden="false" customHeight="true" outlineLevel="0" collapsed="false">
      <c r="A26" s="57" t="s">
        <v>232</v>
      </c>
      <c r="B26" s="57"/>
      <c r="C26" s="57"/>
      <c r="D26" s="57"/>
    </row>
    <row r="27" customFormat="false" ht="37.5" hidden="false" customHeight="true" outlineLevel="0" collapsed="false">
      <c r="A27" s="58" t="s">
        <v>233</v>
      </c>
      <c r="B27" s="58"/>
      <c r="C27" s="58"/>
      <c r="D27" s="58"/>
    </row>
    <row r="28" customFormat="false" ht="15" hidden="false" customHeight="true" outlineLevel="0" collapsed="false">
      <c r="A28" s="56" t="s">
        <v>234</v>
      </c>
      <c r="B28" s="56"/>
      <c r="C28" s="56"/>
      <c r="D28" s="56"/>
    </row>
    <row r="29" customFormat="false" ht="15" hidden="false" customHeight="true" outlineLevel="0" collapsed="false">
      <c r="A29" s="57" t="s">
        <v>235</v>
      </c>
      <c r="B29" s="57"/>
      <c r="C29" s="57"/>
      <c r="D29" s="57"/>
    </row>
    <row r="30" customFormat="false" ht="37.5" hidden="false" customHeight="true" outlineLevel="0" collapsed="false">
      <c r="A30" s="58" t="s">
        <v>236</v>
      </c>
      <c r="B30" s="58"/>
      <c r="C30" s="58"/>
      <c r="D30" s="58"/>
    </row>
    <row r="31" customFormat="false" ht="15" hidden="false" customHeight="true" outlineLevel="0" collapsed="false">
      <c r="A31" s="56" t="s">
        <v>237</v>
      </c>
      <c r="B31" s="56"/>
      <c r="C31" s="56"/>
      <c r="D31" s="56"/>
    </row>
    <row r="32" customFormat="false" ht="15" hidden="false" customHeight="true" outlineLevel="0" collapsed="false">
      <c r="A32" s="57" t="s">
        <v>238</v>
      </c>
      <c r="B32" s="57"/>
      <c r="C32" s="57"/>
      <c r="D32" s="57"/>
    </row>
    <row r="33" customFormat="false" ht="37.5" hidden="false" customHeight="true" outlineLevel="0" collapsed="false">
      <c r="A33" s="58" t="s">
        <v>239</v>
      </c>
      <c r="B33" s="58"/>
      <c r="C33" s="58"/>
      <c r="D33" s="58"/>
    </row>
    <row r="36" customFormat="false" ht="16.15" hidden="false" customHeight="false" outlineLevel="0" collapsed="false">
      <c r="A36" s="8" t="s">
        <v>240</v>
      </c>
      <c r="B36" s="8"/>
      <c r="C36" s="8"/>
      <c r="D36" s="8"/>
    </row>
    <row r="37" customFormat="false" ht="49.5" hidden="false" customHeight="true" outlineLevel="0" collapsed="false">
      <c r="A37" s="59" t="s">
        <v>241</v>
      </c>
      <c r="B37" s="59"/>
      <c r="C37" s="59"/>
      <c r="D37" s="59"/>
    </row>
  </sheetData>
  <mergeCells count="34">
    <mergeCell ref="A1:D1"/>
    <mergeCell ref="A2:D2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6:D36"/>
    <mergeCell ref="A37:D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V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7" min="5" style="0" width="22"/>
    <col collapsed="false" customWidth="true" hidden="false" outlineLevel="0" max="8" min="8" style="0" width="18"/>
    <col collapsed="false" customWidth="true" hidden="false" outlineLevel="0" max="10" min="9" style="0" width="22"/>
    <col collapsed="false" customWidth="true" hidden="false" outlineLevel="0" max="11" min="11" style="0" width="24"/>
    <col collapsed="false" customWidth="true" hidden="false" outlineLevel="0" max="12" min="12" style="0" width="28"/>
    <col collapsed="false" customWidth="true" hidden="false" outlineLevel="0" max="13" min="13" style="0" width="22"/>
    <col collapsed="false" customWidth="true" hidden="false" outlineLevel="0" max="19" min="14" style="0" width="16"/>
    <col collapsed="false" customWidth="true" hidden="false" outlineLevel="0" max="21" min="20" style="0" width="22"/>
    <col collapsed="false" customWidth="true" hidden="false" outlineLevel="0" max="22" min="22" style="0" width="36"/>
  </cols>
  <sheetData>
    <row r="1" customFormat="false" ht="19.7" hidden="false" customHeight="false" outlineLevel="0" collapsed="false">
      <c r="A1" s="60" t="s">
        <v>242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</row>
    <row r="2" customFormat="false" ht="15" hidden="false" customHeight="false" outlineLevel="0" collapsed="false">
      <c r="A2" s="20" t="s">
        <v>243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4" customFormat="false" ht="60" hidden="false" customHeight="true" outlineLevel="0" collapsed="false">
      <c r="A4" s="61" t="s">
        <v>244</v>
      </c>
      <c r="B4" s="61" t="s">
        <v>245</v>
      </c>
      <c r="C4" s="61" t="s">
        <v>246</v>
      </c>
      <c r="D4" s="61" t="s">
        <v>247</v>
      </c>
      <c r="E4" s="61" t="s">
        <v>248</v>
      </c>
      <c r="F4" s="61" t="s">
        <v>249</v>
      </c>
      <c r="G4" s="61" t="s">
        <v>250</v>
      </c>
      <c r="H4" s="61" t="s">
        <v>251</v>
      </c>
      <c r="I4" s="61" t="s">
        <v>252</v>
      </c>
      <c r="J4" s="61" t="s">
        <v>253</v>
      </c>
      <c r="K4" s="61" t="s">
        <v>254</v>
      </c>
      <c r="L4" s="61" t="s">
        <v>255</v>
      </c>
      <c r="M4" s="61" t="s">
        <v>256</v>
      </c>
      <c r="N4" s="61" t="s">
        <v>257</v>
      </c>
      <c r="O4" s="61" t="s">
        <v>258</v>
      </c>
      <c r="P4" s="61" t="s">
        <v>259</v>
      </c>
      <c r="Q4" s="61" t="s">
        <v>260</v>
      </c>
      <c r="R4" s="61" t="s">
        <v>261</v>
      </c>
      <c r="S4" s="61" t="s">
        <v>262</v>
      </c>
      <c r="T4" s="61" t="s">
        <v>263</v>
      </c>
      <c r="U4" s="61" t="s">
        <v>264</v>
      </c>
      <c r="V4" s="61" t="s">
        <v>265</v>
      </c>
    </row>
    <row r="5" customFormat="false" ht="79.5" hidden="false" customHeight="true" outlineLevel="0" collapsed="false">
      <c r="A5" s="62" t="s">
        <v>3</v>
      </c>
      <c r="B5" s="63" t="s">
        <v>266</v>
      </c>
      <c r="C5" s="63" t="s">
        <v>267</v>
      </c>
      <c r="D5" s="63" t="s">
        <v>268</v>
      </c>
      <c r="E5" s="63" t="s">
        <v>269</v>
      </c>
      <c r="F5" s="63" t="s">
        <v>270</v>
      </c>
      <c r="G5" s="63" t="s">
        <v>271</v>
      </c>
      <c r="H5" s="63" t="s">
        <v>272</v>
      </c>
      <c r="I5" s="63" t="s">
        <v>273</v>
      </c>
      <c r="J5" s="63" t="s">
        <v>274</v>
      </c>
      <c r="K5" s="63" t="s">
        <v>275</v>
      </c>
      <c r="L5" s="63" t="s">
        <v>276</v>
      </c>
      <c r="M5" s="63" t="s">
        <v>277</v>
      </c>
      <c r="N5" s="63" t="s">
        <v>278</v>
      </c>
      <c r="O5" s="63" t="s">
        <v>279</v>
      </c>
      <c r="P5" s="63" t="s">
        <v>279</v>
      </c>
      <c r="Q5" s="63" t="s">
        <v>279</v>
      </c>
      <c r="R5" s="63" t="s">
        <v>280</v>
      </c>
      <c r="S5" s="63" t="s">
        <v>280</v>
      </c>
      <c r="T5" s="63" t="s">
        <v>281</v>
      </c>
      <c r="U5" s="63" t="s">
        <v>282</v>
      </c>
      <c r="V5" s="63" t="s">
        <v>283</v>
      </c>
    </row>
    <row r="6" customFormat="false" ht="79.5" hidden="false" customHeight="true" outlineLevel="0" collapsed="false">
      <c r="A6" s="62" t="s">
        <v>284</v>
      </c>
      <c r="B6" s="63" t="s">
        <v>266</v>
      </c>
      <c r="C6" s="63" t="s">
        <v>285</v>
      </c>
      <c r="D6" s="63" t="s">
        <v>286</v>
      </c>
      <c r="E6" s="63" t="s">
        <v>287</v>
      </c>
      <c r="F6" s="63" t="s">
        <v>288</v>
      </c>
      <c r="G6" s="63" t="s">
        <v>289</v>
      </c>
      <c r="H6" s="63" t="s">
        <v>290</v>
      </c>
      <c r="I6" s="63" t="s">
        <v>291</v>
      </c>
      <c r="J6" s="63" t="s">
        <v>292</v>
      </c>
      <c r="K6" s="63" t="s">
        <v>293</v>
      </c>
      <c r="L6" s="63" t="s">
        <v>294</v>
      </c>
      <c r="M6" s="63" t="s">
        <v>295</v>
      </c>
      <c r="N6" s="63" t="s">
        <v>278</v>
      </c>
      <c r="O6" s="63" t="s">
        <v>279</v>
      </c>
      <c r="P6" s="63" t="s">
        <v>279</v>
      </c>
      <c r="Q6" s="63" t="s">
        <v>279</v>
      </c>
      <c r="R6" s="63" t="s">
        <v>280</v>
      </c>
      <c r="S6" s="63" t="s">
        <v>280</v>
      </c>
      <c r="T6" s="63" t="s">
        <v>296</v>
      </c>
      <c r="U6" s="63" t="s">
        <v>297</v>
      </c>
      <c r="V6" s="63" t="s">
        <v>298</v>
      </c>
    </row>
    <row r="7" customFormat="false" ht="79.5" hidden="false" customHeight="true" outlineLevel="0" collapsed="false">
      <c r="A7" s="62" t="s">
        <v>299</v>
      </c>
      <c r="B7" s="63" t="s">
        <v>266</v>
      </c>
      <c r="C7" s="63" t="s">
        <v>300</v>
      </c>
      <c r="D7" s="63" t="s">
        <v>301</v>
      </c>
      <c r="E7" s="63" t="s">
        <v>302</v>
      </c>
      <c r="F7" s="63" t="s">
        <v>303</v>
      </c>
      <c r="G7" s="63" t="s">
        <v>295</v>
      </c>
      <c r="H7" s="63" t="s">
        <v>272</v>
      </c>
      <c r="I7" s="63" t="s">
        <v>304</v>
      </c>
      <c r="J7" s="63" t="s">
        <v>305</v>
      </c>
      <c r="K7" s="63" t="s">
        <v>306</v>
      </c>
      <c r="L7" s="63" t="s">
        <v>307</v>
      </c>
      <c r="M7" s="63" t="s">
        <v>295</v>
      </c>
      <c r="N7" s="63" t="s">
        <v>308</v>
      </c>
      <c r="O7" s="63" t="s">
        <v>279</v>
      </c>
      <c r="P7" s="63" t="s">
        <v>279</v>
      </c>
      <c r="Q7" s="63" t="s">
        <v>279</v>
      </c>
      <c r="R7" s="63" t="s">
        <v>280</v>
      </c>
      <c r="S7" s="63" t="s">
        <v>280</v>
      </c>
      <c r="T7" s="63" t="s">
        <v>309</v>
      </c>
      <c r="U7" s="63" t="s">
        <v>310</v>
      </c>
      <c r="V7" s="63" t="s">
        <v>311</v>
      </c>
    </row>
    <row r="8" customFormat="false" ht="79.5" hidden="false" customHeight="true" outlineLevel="0" collapsed="false">
      <c r="A8" s="62" t="s">
        <v>312</v>
      </c>
      <c r="B8" s="63" t="s">
        <v>266</v>
      </c>
      <c r="C8" s="63" t="s">
        <v>313</v>
      </c>
      <c r="D8" s="63" t="s">
        <v>314</v>
      </c>
      <c r="E8" s="63" t="s">
        <v>315</v>
      </c>
      <c r="F8" s="63" t="s">
        <v>316</v>
      </c>
      <c r="G8" s="63" t="s">
        <v>317</v>
      </c>
      <c r="H8" s="63" t="s">
        <v>295</v>
      </c>
      <c r="I8" s="63" t="s">
        <v>318</v>
      </c>
      <c r="J8" s="63" t="s">
        <v>319</v>
      </c>
      <c r="K8" s="63" t="s">
        <v>320</v>
      </c>
      <c r="L8" s="63" t="s">
        <v>321</v>
      </c>
      <c r="M8" s="63" t="s">
        <v>295</v>
      </c>
      <c r="N8" s="63" t="s">
        <v>322</v>
      </c>
      <c r="O8" s="63" t="s">
        <v>279</v>
      </c>
      <c r="P8" s="63" t="s">
        <v>279</v>
      </c>
      <c r="Q8" s="63" t="s">
        <v>279</v>
      </c>
      <c r="R8" s="63" t="s">
        <v>280</v>
      </c>
      <c r="S8" s="63" t="s">
        <v>280</v>
      </c>
      <c r="T8" s="63" t="s">
        <v>323</v>
      </c>
      <c r="U8" s="63" t="s">
        <v>324</v>
      </c>
      <c r="V8" s="63" t="s">
        <v>325</v>
      </c>
    </row>
    <row r="9" customFormat="false" ht="79.5" hidden="false" customHeight="true" outlineLevel="0" collapsed="false">
      <c r="A9" s="62" t="s">
        <v>326</v>
      </c>
      <c r="B9" s="63" t="s">
        <v>266</v>
      </c>
      <c r="C9" s="63" t="s">
        <v>327</v>
      </c>
      <c r="D9" s="63" t="s">
        <v>328</v>
      </c>
      <c r="E9" s="63" t="s">
        <v>329</v>
      </c>
      <c r="F9" s="63" t="s">
        <v>330</v>
      </c>
      <c r="G9" s="63" t="s">
        <v>295</v>
      </c>
      <c r="H9" s="63" t="s">
        <v>295</v>
      </c>
      <c r="I9" s="63" t="s">
        <v>331</v>
      </c>
      <c r="J9" s="63" t="s">
        <v>279</v>
      </c>
      <c r="K9" s="63" t="s">
        <v>275</v>
      </c>
      <c r="L9" s="63" t="s">
        <v>332</v>
      </c>
      <c r="M9" s="63" t="s">
        <v>295</v>
      </c>
      <c r="N9" s="63" t="s">
        <v>278</v>
      </c>
      <c r="O9" s="63" t="s">
        <v>279</v>
      </c>
      <c r="P9" s="63" t="s">
        <v>279</v>
      </c>
      <c r="Q9" s="63" t="s">
        <v>279</v>
      </c>
      <c r="R9" s="63" t="s">
        <v>280</v>
      </c>
      <c r="S9" s="63" t="s">
        <v>280</v>
      </c>
      <c r="T9" s="63" t="s">
        <v>333</v>
      </c>
      <c r="U9" s="63" t="s">
        <v>334</v>
      </c>
      <c r="V9" s="63" t="s">
        <v>335</v>
      </c>
    </row>
    <row r="10" customFormat="false" ht="79.5" hidden="false" customHeight="true" outlineLevel="0" collapsed="false">
      <c r="A10" s="62" t="s">
        <v>336</v>
      </c>
      <c r="B10" s="63" t="s">
        <v>266</v>
      </c>
      <c r="C10" s="63" t="s">
        <v>337</v>
      </c>
      <c r="D10" s="63" t="s">
        <v>338</v>
      </c>
      <c r="E10" s="63" t="s">
        <v>339</v>
      </c>
      <c r="F10" s="63" t="s">
        <v>340</v>
      </c>
      <c r="G10" s="63" t="s">
        <v>295</v>
      </c>
      <c r="H10" s="63" t="s">
        <v>272</v>
      </c>
      <c r="I10" s="63" t="s">
        <v>341</v>
      </c>
      <c r="J10" s="63" t="s">
        <v>305</v>
      </c>
      <c r="K10" s="63" t="s">
        <v>275</v>
      </c>
      <c r="L10" s="63" t="s">
        <v>342</v>
      </c>
      <c r="M10" s="63" t="s">
        <v>295</v>
      </c>
      <c r="N10" s="63" t="s">
        <v>279</v>
      </c>
      <c r="O10" s="63" t="s">
        <v>279</v>
      </c>
      <c r="P10" s="63" t="s">
        <v>279</v>
      </c>
      <c r="Q10" s="63" t="s">
        <v>279</v>
      </c>
      <c r="R10" s="63" t="s">
        <v>280</v>
      </c>
      <c r="S10" s="63" t="s">
        <v>280</v>
      </c>
      <c r="T10" s="63" t="s">
        <v>343</v>
      </c>
      <c r="U10" s="63" t="s">
        <v>344</v>
      </c>
      <c r="V10" s="63" t="s">
        <v>345</v>
      </c>
    </row>
    <row r="11" customFormat="false" ht="79.5" hidden="false" customHeight="true" outlineLevel="0" collapsed="false">
      <c r="A11" s="62" t="s">
        <v>346</v>
      </c>
      <c r="B11" s="63" t="s">
        <v>266</v>
      </c>
      <c r="C11" s="63" t="s">
        <v>347</v>
      </c>
      <c r="D11" s="63" t="s">
        <v>348</v>
      </c>
      <c r="E11" s="63" t="s">
        <v>349</v>
      </c>
      <c r="F11" s="63" t="s">
        <v>350</v>
      </c>
      <c r="G11" s="63" t="s">
        <v>295</v>
      </c>
      <c r="H11" s="63" t="s">
        <v>295</v>
      </c>
      <c r="I11" s="63" t="s">
        <v>351</v>
      </c>
      <c r="J11" s="63" t="s">
        <v>319</v>
      </c>
      <c r="K11" s="63" t="s">
        <v>320</v>
      </c>
      <c r="L11" s="63" t="s">
        <v>352</v>
      </c>
      <c r="M11" s="63" t="s">
        <v>295</v>
      </c>
      <c r="N11" s="63" t="s">
        <v>278</v>
      </c>
      <c r="O11" s="63" t="s">
        <v>279</v>
      </c>
      <c r="P11" s="63" t="s">
        <v>279</v>
      </c>
      <c r="Q11" s="63" t="s">
        <v>279</v>
      </c>
      <c r="R11" s="63" t="s">
        <v>280</v>
      </c>
      <c r="S11" s="63" t="s">
        <v>280</v>
      </c>
      <c r="T11" s="63" t="s">
        <v>343</v>
      </c>
      <c r="U11" s="63" t="s">
        <v>353</v>
      </c>
      <c r="V11" s="63" t="s">
        <v>354</v>
      </c>
    </row>
    <row r="12" customFormat="false" ht="79.5" hidden="false" customHeight="true" outlineLevel="0" collapsed="false">
      <c r="A12" s="62" t="s">
        <v>355</v>
      </c>
      <c r="B12" s="63" t="s">
        <v>266</v>
      </c>
      <c r="C12" s="63" t="s">
        <v>356</v>
      </c>
      <c r="D12" s="63" t="s">
        <v>357</v>
      </c>
      <c r="E12" s="63" t="s">
        <v>358</v>
      </c>
      <c r="F12" s="63" t="s">
        <v>359</v>
      </c>
      <c r="G12" s="63" t="s">
        <v>295</v>
      </c>
      <c r="H12" s="63" t="s">
        <v>295</v>
      </c>
      <c r="I12" s="63" t="s">
        <v>295</v>
      </c>
      <c r="J12" s="63" t="s">
        <v>279</v>
      </c>
      <c r="K12" s="63" t="s">
        <v>360</v>
      </c>
      <c r="L12" s="63" t="s">
        <v>361</v>
      </c>
      <c r="M12" s="63" t="s">
        <v>295</v>
      </c>
      <c r="N12" s="63" t="s">
        <v>279</v>
      </c>
      <c r="O12" s="63" t="s">
        <v>279</v>
      </c>
      <c r="P12" s="63" t="s">
        <v>279</v>
      </c>
      <c r="Q12" s="63" t="s">
        <v>279</v>
      </c>
      <c r="R12" s="63" t="s">
        <v>280</v>
      </c>
      <c r="S12" s="63" t="s">
        <v>280</v>
      </c>
      <c r="T12" s="63" t="s">
        <v>362</v>
      </c>
      <c r="U12" s="63" t="s">
        <v>363</v>
      </c>
      <c r="V12" s="63" t="s">
        <v>364</v>
      </c>
    </row>
    <row r="13" customFormat="false" ht="79.5" hidden="false" customHeight="true" outlineLevel="0" collapsed="false">
      <c r="A13" s="62" t="s">
        <v>365</v>
      </c>
      <c r="B13" s="63" t="s">
        <v>366</v>
      </c>
      <c r="C13" s="63" t="s">
        <v>367</v>
      </c>
      <c r="D13" s="63" t="s">
        <v>368</v>
      </c>
      <c r="E13" s="63" t="s">
        <v>369</v>
      </c>
      <c r="F13" s="63" t="s">
        <v>370</v>
      </c>
      <c r="G13" s="63" t="s">
        <v>371</v>
      </c>
      <c r="H13" s="63" t="s">
        <v>371</v>
      </c>
      <c r="I13" s="63" t="s">
        <v>372</v>
      </c>
      <c r="J13" s="63" t="s">
        <v>373</v>
      </c>
      <c r="K13" s="63" t="s">
        <v>374</v>
      </c>
      <c r="L13" s="63" t="s">
        <v>375</v>
      </c>
      <c r="M13" s="63" t="s">
        <v>376</v>
      </c>
      <c r="N13" s="63" t="s">
        <v>279</v>
      </c>
      <c r="O13" s="63" t="s">
        <v>279</v>
      </c>
      <c r="P13" s="63" t="s">
        <v>279</v>
      </c>
      <c r="Q13" s="63" t="s">
        <v>279</v>
      </c>
      <c r="R13" s="63" t="s">
        <v>377</v>
      </c>
      <c r="S13" s="63" t="s">
        <v>377</v>
      </c>
      <c r="T13" s="63" t="s">
        <v>378</v>
      </c>
      <c r="U13" s="63" t="s">
        <v>379</v>
      </c>
      <c r="V13" s="63" t="s">
        <v>380</v>
      </c>
    </row>
    <row r="14" customFormat="false" ht="79.5" hidden="false" customHeight="true" outlineLevel="0" collapsed="false">
      <c r="A14" s="62" t="s">
        <v>381</v>
      </c>
      <c r="B14" s="63" t="s">
        <v>366</v>
      </c>
      <c r="C14" s="63" t="s">
        <v>382</v>
      </c>
      <c r="D14" s="63" t="s">
        <v>383</v>
      </c>
      <c r="E14" s="63" t="s">
        <v>384</v>
      </c>
      <c r="F14" s="63" t="s">
        <v>385</v>
      </c>
      <c r="G14" s="63" t="s">
        <v>386</v>
      </c>
      <c r="H14" s="63" t="s">
        <v>387</v>
      </c>
      <c r="I14" s="63" t="s">
        <v>388</v>
      </c>
      <c r="J14" s="63" t="s">
        <v>389</v>
      </c>
      <c r="K14" s="63" t="s">
        <v>390</v>
      </c>
      <c r="L14" s="63" t="s">
        <v>391</v>
      </c>
      <c r="M14" s="63" t="s">
        <v>392</v>
      </c>
      <c r="N14" s="63" t="s">
        <v>279</v>
      </c>
      <c r="O14" s="63" t="s">
        <v>279</v>
      </c>
      <c r="P14" s="63" t="s">
        <v>279</v>
      </c>
      <c r="Q14" s="63" t="s">
        <v>279</v>
      </c>
      <c r="R14" s="63" t="s">
        <v>377</v>
      </c>
      <c r="S14" s="63" t="s">
        <v>377</v>
      </c>
      <c r="T14" s="63" t="s">
        <v>393</v>
      </c>
      <c r="U14" s="63" t="s">
        <v>394</v>
      </c>
      <c r="V14" s="63" t="s">
        <v>395</v>
      </c>
    </row>
    <row r="15" customFormat="false" ht="79.5" hidden="false" customHeight="true" outlineLevel="0" collapsed="false">
      <c r="A15" s="62" t="s">
        <v>396</v>
      </c>
      <c r="B15" s="63" t="s">
        <v>397</v>
      </c>
      <c r="C15" s="63" t="s">
        <v>398</v>
      </c>
      <c r="D15" s="63" t="s">
        <v>399</v>
      </c>
      <c r="E15" s="63" t="s">
        <v>400</v>
      </c>
      <c r="F15" s="63" t="s">
        <v>401</v>
      </c>
      <c r="G15" s="63" t="s">
        <v>402</v>
      </c>
      <c r="H15" s="63" t="s">
        <v>403</v>
      </c>
      <c r="I15" s="63" t="s">
        <v>404</v>
      </c>
      <c r="J15" s="63" t="s">
        <v>405</v>
      </c>
      <c r="K15" s="63" t="s">
        <v>406</v>
      </c>
      <c r="L15" s="63" t="s">
        <v>407</v>
      </c>
      <c r="M15" s="63" t="s">
        <v>408</v>
      </c>
      <c r="N15" s="63" t="s">
        <v>278</v>
      </c>
      <c r="O15" s="63" t="s">
        <v>279</v>
      </c>
      <c r="P15" s="63" t="s">
        <v>278</v>
      </c>
      <c r="Q15" s="63" t="s">
        <v>279</v>
      </c>
      <c r="R15" s="63" t="s">
        <v>280</v>
      </c>
      <c r="S15" s="63" t="s">
        <v>280</v>
      </c>
      <c r="T15" s="63" t="s">
        <v>409</v>
      </c>
      <c r="U15" s="63" t="s">
        <v>410</v>
      </c>
      <c r="V15" s="63" t="s">
        <v>411</v>
      </c>
    </row>
    <row r="16" customFormat="false" ht="79.5" hidden="false" customHeight="true" outlineLevel="0" collapsed="false">
      <c r="A16" s="62" t="s">
        <v>412</v>
      </c>
      <c r="B16" s="63" t="s">
        <v>397</v>
      </c>
      <c r="C16" s="63" t="s">
        <v>413</v>
      </c>
      <c r="D16" s="63" t="s">
        <v>414</v>
      </c>
      <c r="E16" s="63" t="s">
        <v>415</v>
      </c>
      <c r="F16" s="63" t="s">
        <v>401</v>
      </c>
      <c r="G16" s="63" t="s">
        <v>289</v>
      </c>
      <c r="H16" s="63" t="s">
        <v>403</v>
      </c>
      <c r="I16" s="63" t="s">
        <v>318</v>
      </c>
      <c r="J16" s="63" t="s">
        <v>416</v>
      </c>
      <c r="K16" s="63" t="s">
        <v>417</v>
      </c>
      <c r="L16" s="63" t="s">
        <v>418</v>
      </c>
      <c r="M16" s="63" t="s">
        <v>419</v>
      </c>
      <c r="N16" s="63" t="s">
        <v>278</v>
      </c>
      <c r="O16" s="63" t="s">
        <v>278</v>
      </c>
      <c r="P16" s="63" t="s">
        <v>377</v>
      </c>
      <c r="Q16" s="63" t="s">
        <v>279</v>
      </c>
      <c r="R16" s="63" t="s">
        <v>280</v>
      </c>
      <c r="S16" s="63" t="s">
        <v>280</v>
      </c>
      <c r="T16" s="63" t="s">
        <v>420</v>
      </c>
      <c r="U16" s="63" t="s">
        <v>421</v>
      </c>
      <c r="V16" s="63" t="s">
        <v>422</v>
      </c>
    </row>
  </sheetData>
  <mergeCells count="2">
    <mergeCell ref="A1:V1"/>
    <mergeCell ref="A2:V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2026-05-03T21:02:58Z</dcterms:created>
  <dc:creator>openpyxl</dc:creator>
  <dc:description/>
  <dc:language>en-US</dc:language>
  <cp:lastModifiedBy/>
  <dcterms:modified xsi:type="dcterms:W3CDTF">2026-05-03T21:02:58Z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