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Catalog" sheetId="1" state="visible" r:id="rId3"/>
    <sheet name=" Questionnaire" sheetId="2" state="visible" r:id="rId4"/>
    <sheet name=" Canv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<sst xmlns="http://schemas.openxmlformats.org/spreadsheetml/2006/main" count="204" uniqueCount="187">
  <si>
    <t xml:space="preserve"> Use Case Catalog · B2B Customer Service</t>
  </si>
  <si>
    <t xml:space="preserve"> In the last column, select the cases that apply to your organization. The sheet will automatically count the selections.</t>
  </si>
  <si>
    <t xml:space="preserve"> #</t>
  </si>
  <si>
    <t xml:space="preserve"> Use case</t>
  </si>
  <si>
    <t xml:space="preserve"> Description</t>
  </si>
  <si>
    <t xml:space="preserve"> AI Family</t>
  </si>
  <si>
    <t xml:space="preserve"> Typical KPI</t>
  </si>
  <si>
    <t xml:space="preserve"> Required data</t>
  </si>
  <si>
    <t xml:space="preserve"> Effort</t>
  </si>
  <si>
    <t xml:space="preserve"> Maturity (1-5)</t>
  </si>
  <si>
    <t xml:space="preserve"> Compliance / Risk</t>
  </si>
  <si>
    <t xml:space="preserve"> Does this apply to us?</t>
  </si>
  <si>
    <t xml:space="preserve"> Grades</t>
  </si>
  <si>
    <t xml:space="preserve"> Real-time agent co-pilot</t>
  </si>
  <si>
    <t xml:space="preserve"> Assistant that suggests technical answers, procedures, and KB articles during the handling of a complex case.</t>
  </si>
  <si>
    <t xml:space="preserve"> GenAI / Agents</t>
  </si>
  <si>
    <t xml:space="preserve"> AHT, FCR, Agent Internal NPS</t>
  </si>
  <si>
    <t xml:space="preserve"> Ticket history, technical KB, scripts, transcripts</t>
  </si>
  <si>
    <t xml:space="preserve"> Medium</t>
  </si>
  <si>
    <t xml:space="preserve"> Customer data privacy; mandatory human review; no self-decision.</t>
  </si>
  <si>
    <t xml:space="preserve"> Semantic search in a knowledge base technique</t>
  </si>
  <si>
    <t xml:space="preserve"> It allows you to find the right article by asking in natural language instead of keywords.</t>
  </si>
  <si>
    <t xml:space="preserve">GenAI / RAG</t>
  </si>
  <si>
    <t xml:space="preserve"> Search time, FCR, agent self-sufficiency</t>
  </si>
  <si>
    <t xml:space="preserve"> Indexed technical knowledge base, product taxonomy</t>
  </si>
  <si>
    <t xml:space="preserve"> Quick Win</t>
  </si>
  <si>
    <t xml:space="preserve"> Role-based access to sensitive items.</t>
  </si>
  <si>
    <t xml:space="preserve"> Automatic summary of complex tickets/cases</t>
  </si>
  <si>
    <t xml:space="preserve"> Generates executive summaries of long tickets for handoff between teams or reporting to the account.</t>
  </si>
  <si>
    <t xml:space="preserve"> GenAI</t>
  </si>
  <si>
    <t xml:space="preserve"> Administrative time, grade quality, handoff speed</t>
  </si>
  <si>
    <t xml:space="preserve"> Transcripts, historical notes, mail communication</t>
  </si>
  <si>
    <t xml:space="preserve"> Traceability of the generated version vs. the original.</t>
  </si>
  <si>
    <t xml:space="preserve"> Generation of suggested technical responses</t>
  </si>
  <si>
    <t xml:space="preserve"> Initial draft of response to emails or technical tickets for review and submission by the agent.</t>
  </si>
  <si>
    <t xml:space="preserve"> Response time, agent productivity, technical consistency</t>
  </si>
  <si>
    <t xml:space="preserve"> Response history, KB, customer context</t>
  </si>
  <si>
    <t xml:space="preserve"> Mandatory human review; do not submit without approval.</t>
  </si>
  <si>
    <t xml:space="preserve"> Automatic classification and routing to specialists</t>
  </si>
  <si>
    <t xml:space="preserve">Assign each incoming ticket to the correct team or specialist based on content and account.</t>
  </si>
  <si>
    <t xml:space="preserve"> Classic ML</t>
  </si>
  <si>
    <t xml:space="preserve"> Routing time, % of reassignments, time to first response</t>
  </si>
  <si>
    <t xml:space="preserve"> History of tickets tagged with correct destination</t>
  </si>
  <si>
    <t xml:space="preserve"> Classification bias; periodic audit.</t>
  </si>
  <si>
    <t xml:space="preserve"> Prediction of critical ticket escalation</t>
  </si>
  <si>
    <t xml:space="preserve"> Identify in advance the tickets that are likely to require level 2/3 intervention.</t>
  </si>
  <si>
    <t xml:space="preserve"> Detection time, controlled scaling rate, recovery</t>
  </si>
  <si>
    <t xml:space="preserve"> History of escalated tickets, ticket and account attributes</t>
  </si>
  <si>
    <t xml:space="preserve"> Critical false negatives; explainability for the agent.</t>
  </si>
  <si>
    <t xml:space="preserve"> Sentiment analysis in strategic accounts</t>
  </si>
  <si>
    <t xml:space="preserve"> Continuous monitoring of the emotional health of the relationship with key accounts through interactions.</t>
  </si>
  <si>
    <t xml:space="preserve"> Classic ML / GenAI</t>
  </si>
  <si>
    <t xml:space="preserve"> Discontent detection time, account retention</t>
  </si>
  <si>
    <t xml:space="preserve"> Transcripts, emails, surveys, tickets</t>
  </si>
  <si>
    <t xml:space="preserve">Privacy; ethical use; do not classify people.</t>
  </si>
  <si>
    <t xml:space="preserve"> Account churn prediction by contact patterns</t>
  </si>
  <si>
    <t xml:space="preserve"> Model the probability of losing an account based on the service interaction footprint.</t>
  </si>
  <si>
    <t xml:space="preserve"> Retention rate, CLV savings, early warnings</t>
  </si>
  <si>
    <t xml:space="preserve"> Tickets, account health, business data, NPS</t>
  </si>
  <si>
    <t xml:space="preserve"> Decision that affects the customer; transparency and human review.</t>
  </si>
  <si>
    <t xml:space="preserve"> Knowledge mining: detecting patterns in tickets</t>
  </si>
  <si>
    <t xml:space="preserve"> Discover trends, recurring problems, and product opportunities from the ticket corpus.</t>
  </si>
  <si>
    <t xml:space="preserve"> ML / GenAI</t>
  </si>
  <si>
    <t xml:space="preserve"> Tickets avoided, product improvements, KB quality</t>
  </si>
  <si>
    <t xml:space="preserve"> Complete corpus of historical tickets</t>
  </si>
  <si>
    <t xml:space="preserve"> Quality of findings; human review before acting.</t>
  </si>
  <si>
    <t xml:space="preserve"> Conversational assistant for B2B customer portal</t>
  </si>
  <si>
    <t xml:space="preserve"> It allows account users to resolve frequently asked questions (status, billing, documentation) without contacting the human team.</t>
  </si>
  <si>
    <t xml:space="preserve"> Self-service rate, deflection, portal NPS</t>
  </si>
  <si>
    <t xml:space="preserve">Documentary knowledge base, integrations (CRM, ERP, ticketing)</t>
  </si>
  <si>
    <t xml:space="preserve"> Robust authentication; traceability; escalation to available human.</t>
  </si>
  <si>
    <t xml:space="preserve"> Automated Quality Assurance of Interactions</t>
  </si>
  <si>
    <t xml:space="preserve"> Evaluate 100% of the interactions (vs sample) against defined quality criteria.</t>
  </si>
  <si>
    <t xml:space="preserve"> GenAI + Classic ML</t>
  </si>
  <si>
    <t xml:space="preserve"> QA coverage, consistency, identification of coaching needs</t>
  </si>
  <si>
    <t xml:space="preserve"> Transcripts, documented QA criteria</t>
  </si>
  <si>
    <t xml:space="preserve"> Privacy; labor rights; transparency with the team.</t>
  </si>
  <si>
    <t xml:space="preserve"> SLA breach prediction (risk of non-compliance)</t>
  </si>
  <si>
    <t xml:space="preserve"> Anticipate when a ticket is at risk of violating the SLA and trigger proactive action.</t>
  </si>
  <si>
    <t xml:space="preserve"> SLA compliance, penalty savings, account satisfaction</t>
  </si>
  <si>
    <t xml:space="preserve"> Ticket history with real-time data and attributes</t>
  </si>
  <si>
    <t xml:space="preserve"> Explainability for the agent; false positives are not ignored.</t>
  </si>
  <si>
    <t xml:space="preserve"> Self-maintenance of the technical knowledge base</t>
  </si>
  <si>
    <t xml:space="preserve"> Detects gaps in the KB based on resolved tickets and proposes new articles or updates.</t>
  </si>
  <si>
    <t xml:space="preserve">KB coverage, FCR, new agent productivity</t>
  </si>
  <si>
    <t xml:space="preserve"> Resolved tickets, current KB, taxonomy</t>
  </si>
  <si>
    <t xml:space="preserve"> Transformational</t>
  </si>
  <si>
    <t xml:space="preserve"> Quality of generated content; human approval for publication.</t>
  </si>
  <si>
    <t xml:space="preserve"> SUMMARY OF SELECTIONS</t>
  </si>
  <si>
    <t xml:space="preserve"> Cases marked "Yes":</t>
  </si>
  <si>
    <t xml:space="preserve"> Cases marked "Maybe":</t>
  </si>
  <si>
    <t xml:space="preserve"> Cases marked "No":</t>
  </si>
  <si>
    <t xml:space="preserve"> Total candidates (Yes + Maybe):</t>
  </si>
  <si>
    <t xml:space="preserve"> Self-assessment questionnaire · B2B Customer Service</t>
  </si>
  <si>
    <t xml:space="preserve"> Answer each question with a score from 1 to 5. The sheet will automatically calculate your "pain" and "readiness" score and place you on the 2×2 matrix.</t>
  </si>
  <si>
    <t xml:space="preserve"> Scale:</t>
  </si>
  <si>
    <t xml:space="preserve"> 1 = does not exist / very low · 2 = low · 3 = medium · 4 = high · 5 = systematic / very high</t>
  </si>
  <si>
    <t xml:space="preserve"> Ask</t>
  </si>
  <si>
    <t xml:space="preserve"> Score (1-5)</t>
  </si>
  <si>
    <t xml:space="preserve"> BLOCK A — Operational pain (how hurt are you)</t>
  </si>
  <si>
    <t xml:space="preserve"> A1</t>
  </si>
  <si>
    <t xml:space="preserve"> The volume of recurring tickets that my agents resolve multiple times a day is:</t>
  </si>
  <si>
    <t xml:space="preserve"> A2</t>
  </si>
  <si>
    <t xml:space="preserve">The average handling/resolution time for a ticket that we would like to reduce is:</t>
  </si>
  <si>
    <t xml:space="preserve"> A3</t>
  </si>
  <si>
    <t xml:space="preserve"> The waiting or response time that our accounts experience today is:</t>
  </si>
  <si>
    <t xml:space="preserve"> A4</t>
  </si>
  <si>
    <t xml:space="preserve"> The escalation rate between support levels (errors, rework, reassignments) is:</t>
  </si>
  <si>
    <t xml:space="preserve"> BLOCK B — Data Readiness</t>
  </si>
  <si>
    <t xml:space="preserve"> B1</t>
  </si>
  <si>
    <t xml:space="preserve"> We have complete digital records of historical tickets/calls (12+ months):</t>
  </si>
  <si>
    <t xml:space="preserve"> B2</t>
  </si>
  <si>
    <t xml:space="preserve"> The calls and/or chats are recorded or transcribed with reasonable quality:</t>
  </si>
  <si>
    <t xml:space="preserve"> B3</t>
  </si>
  <si>
    <t xml:space="preserve"> There is an up-to-date and accessible technical knowledge base (KB):</t>
  </si>
  <si>
    <t xml:space="preserve"> B4</t>
  </si>
  <si>
    <t xml:space="preserve"> The data for this area is integrated with CRM, ERP, and other relevant systems:</t>
  </si>
  <si>
    <t xml:space="preserve"> BLOCK C — Team Readiness</t>
  </si>
  <si>
    <t xml:space="preserve"> C1</t>
  </si>
  <si>
    <t xml:space="preserve"> The service area leadership is open to incorporating AI and sponsors the initiative:</t>
  </si>
  <si>
    <t xml:space="preserve"> C2</t>
  </si>
  <si>
    <t xml:space="preserve"> There are natural allies (technological champions / superusers) on the team:</t>
  </si>
  <si>
    <t xml:space="preserve"> C3</t>
  </si>
  <si>
    <t xml:space="preserve">The culture in the area tolerates experiments where AI can make mistakes at the beginning:</t>
  </si>
  <si>
    <t xml:space="preserve"> C4</t>
  </si>
  <si>
    <t xml:space="preserve"> The team has gone through previous transformation projects with reasonable results:</t>
  </si>
  <si>
    <t xml:space="preserve"> BLOCK D — Strategic Alignment</t>
  </si>
  <si>
    <t xml:space="preserve"> D1</t>
  </si>
  <si>
    <t xml:space="preserve"> We have explicit goals to improve NPS / CSAT / retention or reduce the cost of care:</t>
  </si>
  <si>
    <t xml:space="preserve"> D2</t>
  </si>
  <si>
    <t xml:space="preserve"> There is a reasonable budget to invest in AI for customer service in the next 12 months:</t>
  </si>
  <si>
    <t xml:space="preserve"> D3</t>
  </si>
  <si>
    <t xml:space="preserve"> Applicable regulations allow us to use AI in interactions with accounts/customers:</t>
  </si>
  <si>
    <t xml:space="preserve"> D4</t>
  </si>
  <si>
    <t xml:space="preserve"> There is a clear business case for impact on costs, revenue, or experience:</t>
  </si>
  <si>
    <t xml:space="preserve"> RESULTS</t>
  </si>
  <si>
    <t xml:space="preserve"> Pain score (Block A):</t>
  </si>
  <si>
    <t xml:space="preserve"> Readiness score (Blocks B + C + D):</t>
  </si>
  <si>
    <t xml:space="preserve"> RECOMMENDATION:</t>
  </si>
  <si>
    <t xml:space="preserve"> Averages per block (reference):</t>
  </si>
  <si>
    <t xml:space="preserve"> Block A — Operating Pain:</t>
  </si>
  <si>
    <t xml:space="preserve"> Block B — Data:</t>
  </si>
  <si>
    <t xml:space="preserve"> Block C — Team:</t>
  </si>
  <si>
    <t xml:space="preserve"> Block D — Strategy:</t>
  </si>
  <si>
    <t xml:space="preserve"> 2×2 Matrix — Pain × Readiness</t>
  </si>
  <si>
    <t xml:space="preserve"> Readiness LOW (&lt; 3.5)</t>
  </si>
  <si>
    <t xml:space="preserve"> Readiness HIGH (≥ 3.5)</t>
  </si>
  <si>
    <t xml:space="preserve">High Pain (≥ 3.5)</t>
  </si>
  <si>
    <t xml:space="preserve"> Invest in enablers first</t>
  </si>
  <si>
    <t xml:space="preserve"> PRIORITY QUICK WIN</t>
  </si>
  <si>
    <t xml:space="preserve"> LOW Pain (&lt; 3.5)</t>
  </si>
  <si>
    <t xml:space="preserve"> It's not time yet.</t>
  </si>
  <si>
    <t xml:space="preserve"> Opportunity without urgency</t>
  </si>
  <si>
    <t xml:space="preserve"> Opportunity Canvas · B2B Customer Service</t>
  </si>
  <si>
    <t xml:space="preserve"> Document a specific opportunity on one page. Replace the italicized text with your information. Output ready to populate the Module 2 template.</t>
  </si>
  <si>
    <t xml:space="preserve"> 1. Case Name</t>
  </si>
  <si>
    <t xml:space="preserve"> Prompt: ≤ 8 words</t>
  </si>
  <si>
    <t xml:space="preserve"> Ex. Co-pilot of the agent for technical tickets</t>
  </si>
  <si>
    <t xml:space="preserve"> 2. Specific pain point</t>
  </si>
  <si>
    <t xml:space="preserve"> Prompt: Today our agents/customers suffer X when Y</t>
  </si>
  <si>
    <t xml:space="preserve"> For example, today our agents spend 40 minutes per technical ticket searching for information scattered among KB files, old tickets, and product manuals.</t>
  </si>
  <si>
    <t xml:space="preserve"> 3. Frequency and volume</t>
  </si>
  <si>
    <t xml:space="preserve"> Prompt: How many times does this happen per month and how many people does it affect?</t>
  </si>
  <si>
    <t xml:space="preserve"> Ex. ~2,500 technical tickets/month, 18 agents affected.</t>
  </si>
  <si>
    <t xml:space="preserve"> 4. Estimated cost of pain</t>
  </si>
  <si>
    <t xml:space="preserve"> Prompt: USD/month or equivalent time/month</t>
  </si>
  <si>
    <t xml:space="preserve">E.g. 2,500 tickets × 40 min = 1,667 hours/month ≈ USD 50,000/month in agent cost.</t>
  </si>
  <si>
    <t xml:space="preserve"> 5. Primary KPI to move</t>
  </si>
  <si>
    <t xml:space="preserve"> Prompt: Specific indicator and direction</t>
  </si>
  <si>
    <t xml:space="preserve"> Ex. AHT (from 18 min to 13 min), FCR (from 65% to 75%).</t>
  </si>
  <si>
    <t xml:space="preserve"> 6. Expected magnitude of change</t>
  </si>
  <si>
    <t xml:space="preserve"> Prompt: From X to Y, on what horizon</t>
  </si>
  <si>
    <t xml:space="preserve"> E.g. Reduce AHT 25% in 9 months; save USD 12,000/month starting from month 6.</t>
  </si>
  <si>
    <t xml:space="preserve"> 7. Available data</t>
  </si>
  <si>
    <t xml:space="preserve"> Prompt: Sources, volume, quality, gaps</t>
  </si>
  <si>
    <t xml:space="preserve"> E.g., KB in Confluence (6,000 articles, medium quality), 18-month history of tickets in Zendesk, chat transcripts.</t>
  </si>
  <si>
    <t xml:space="preserve"> 8. Hypothetical AI Family</t>
  </si>
  <si>
    <t xml:space="preserve"> Prompt: Rules / Classical ML / GenAI / Hybrid (Module 4)</t>
  </si>
  <si>
    <t xml:space="preserve"> E.g., GenAI with RAG on KB and ticket history, integrated into the agent's desktop.</t>
  </si>
  <si>
    <t xml:space="preserve"> 9. Visible risks</t>
  </si>
  <si>
    <t xml:space="preserve"> Prompt: Regulatory, technical, adoption</t>
  </si>
  <si>
    <t xml:space="preserve"> E.g. Customer data privacy; initial equipment resistance; inconsistent KB quality.</t>
  </si>
  <si>
    <t xml:space="preserve"> 10. Case Sponsor</t>
  </si>
  <si>
    <t xml:space="preserve">Prompt: Name and role of the executive sponsor</t>
  </si>
  <si>
    <t xml:space="preserve"> Example: Customer Service Director, Maria Gonzalez.</t>
  </si>
  <si>
    <t xml:space="preserve"> EXIT — Case Summary for Module 2 / 3</t>
  </si>
  <si>
    <t xml:space="preserve"> Once you've completed the 10 fields, copy the content into the Module 2 opportunity template (8 fields: name, owner area, problem in one sentence, value vector, metric to move, AI family, required data, visible risks). The canvas and the template are aligned.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</si>
</sst>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2D2D2D"/>
      <name val="Arial"/>
      <family val="0"/>
      <charset val="1"/>
    </font>
    <font>
      <b val="true"/>
      <sz val="10"/>
      <color rgb="FF2D2D2D"/>
      <name val="Arial"/>
      <family val="0"/>
      <charset val="1"/>
    </font>
    <font>
      <b val="true"/>
      <sz val="11"/>
      <color rgb="FF2D2D2D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4"/>
      <color rgb="FF2E7D32"/>
      <name val="Arial"/>
      <family val="0"/>
      <charset val="1"/>
    </font>
    <font>
      <b val="true"/>
      <sz val="14"/>
      <color rgb="FFB7791F"/>
      <name val="Arial"/>
      <family val="0"/>
      <charset val="1"/>
    </font>
    <font>
      <b val="true"/>
      <sz val="14"/>
      <color rgb="FF6B728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10"/>
      <color rgb="FF2D2D2D"/>
      <name val="Arial"/>
      <family val="0"/>
      <charset val="1"/>
    </font>
    <font>
      <b val="true"/>
      <sz val="12"/>
      <color rgb="FFB91C1C"/>
      <name val="Arial"/>
      <family val="0"/>
      <charset val="1"/>
    </font>
    <font>
      <b val="true"/>
      <sz val="11"/>
      <color rgb="FFB91C1C"/>
      <name val="Arial"/>
      <family val="0"/>
      <charset val="1"/>
    </font>
    <font>
      <sz val="11"/>
      <color rgb="FF2D2D2D"/>
      <name val="Arial"/>
      <family val="0"/>
      <charset val="1"/>
    </font>
    <font>
      <b val="true"/>
      <sz val="13"/>
      <color rgb="FF0000FF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2"/>
      <color rgb="FF2D2D2D"/>
      <name val="Arial"/>
      <family val="0"/>
      <charset val="1"/>
    </font>
    <font>
      <b val="true"/>
      <sz val="16"/>
      <color rgb="FFB91C1C"/>
      <name val="Arial"/>
      <family val="0"/>
      <charset val="1"/>
    </font>
    <font>
      <b val="true"/>
      <sz val="16"/>
      <color rgb="FF2E7D32"/>
      <name val="Arial"/>
      <family val="0"/>
      <charset val="1"/>
    </font>
    <font>
      <b val="true"/>
      <sz val="11"/>
      <color rgb="FFB7791F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i val="true"/>
      <sz val="11"/>
      <color rgb="FF2D2D2D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8EEF4"/>
        <bgColor rgb="FFE8F4E8"/>
      </patternFill>
    </fill>
    <fill>
      <patternFill patternType="solid">
        <fgColor rgb="FFFFF8DC"/>
        <bgColor rgb="FFFFF4D6"/>
      </patternFill>
    </fill>
    <fill>
      <patternFill patternType="solid">
        <fgColor rgb="FFE8F4E8"/>
        <bgColor rgb="FFE8EEF4"/>
      </patternFill>
    </fill>
    <fill>
      <patternFill patternType="solid">
        <fgColor rgb="FFFDE7E9"/>
        <bgColor rgb="FFFFF4D6"/>
      </patternFill>
    </fill>
    <fill>
      <patternFill patternType="solid">
        <fgColor rgb="FFDCEEDC"/>
        <bgColor rgb="FFE8F4E8"/>
      </patternFill>
    </fill>
    <fill>
      <patternFill patternType="solid">
        <fgColor rgb="FFFFF4D6"/>
        <bgColor rgb="FFFFF8DC"/>
      </patternFill>
    </fill>
    <fill>
      <patternFill patternType="solid">
        <fgColor rgb="FFF7F9FB"/>
        <bgColor rgb="FFE8F4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F3A5F"/>
      </left>
      <right style="thin">
        <color rgb="FF1F3A5F"/>
      </right>
      <top style="thin">
        <color rgb="FF1F3A5F"/>
      </top>
      <bottom style="thin">
        <color rgb="FF1F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9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CCCCCC"/>
      <rgbColor rgb="FF808080"/>
      <rgbColor rgb="FF9999FF"/>
      <rgbColor rgb="FF993366"/>
      <rgbColor rgb="FFFFF8DC"/>
      <rgbColor rgb="FFE8F4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4"/>
      <rgbColor rgb="FFDCEEDC"/>
      <rgbColor rgb="FFFFF4D6"/>
      <rgbColor rgb="FF99CCFF"/>
      <rgbColor rgb="FFFF99CC"/>
      <rgbColor rgb="FFCC99FF"/>
      <rgbColor rgb="FFFDE7E9"/>
      <rgbColor rgb="FF2E75B6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2E7D32"/>
      <rgbColor rgb="FF003300"/>
      <rgbColor rgb="FF333300"/>
      <rgbColor rgb="FFB91C1C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28"/>
    <col collapsed="false" customWidth="true" hidden="false" outlineLevel="0" max="10" min="10" style="0" width="16"/>
    <col collapsed="false" customWidth="true" hidden="false" outlineLevel="0" max="11" min="11" style="0" width="2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69.75" hidden="false" customHeight="true" outlineLevel="0" collapsed="false">
      <c r="A5" s="4" t="n">
        <v>1</v>
      </c>
      <c r="B5" s="5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7" t="s">
        <v>18</v>
      </c>
      <c r="H5" s="8" t="n">
        <v>5</v>
      </c>
      <c r="I5" s="6" t="s">
        <v>19</v>
      </c>
      <c r="J5" s="9"/>
      <c r="K5" s="10"/>
    </row>
    <row r="6" customFormat="false" ht="69.75" hidden="false" customHeight="true" outlineLevel="0" collapsed="false">
      <c r="A6" s="4" t="n">
        <v>2</v>
      </c>
      <c r="B6" s="5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7" t="s">
        <v>25</v>
      </c>
      <c r="H6" s="8" t="n">
        <v>5</v>
      </c>
      <c r="I6" s="6" t="s">
        <v>26</v>
      </c>
      <c r="J6" s="9"/>
      <c r="K6" s="10"/>
    </row>
    <row r="7" customFormat="false" ht="69.75" hidden="false" customHeight="true" outlineLevel="0" collapsed="false">
      <c r="A7" s="4" t="n">
        <v>3</v>
      </c>
      <c r="B7" s="5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7" t="s">
        <v>25</v>
      </c>
      <c r="H7" s="8" t="n">
        <v>5</v>
      </c>
      <c r="I7" s="6" t="s">
        <v>32</v>
      </c>
      <c r="J7" s="9"/>
      <c r="K7" s="10"/>
    </row>
    <row r="8" customFormat="false" ht="69.75" hidden="false" customHeight="true" outlineLevel="0" collapsed="false">
      <c r="A8" s="4" t="n">
        <v>4</v>
      </c>
      <c r="B8" s="5" t="s">
        <v>33</v>
      </c>
      <c r="C8" s="6" t="s">
        <v>34</v>
      </c>
      <c r="D8" s="6" t="s">
        <v>29</v>
      </c>
      <c r="E8" s="6" t="s">
        <v>35</v>
      </c>
      <c r="F8" s="6" t="s">
        <v>36</v>
      </c>
      <c r="G8" s="7" t="s">
        <v>25</v>
      </c>
      <c r="H8" s="8" t="n">
        <v>4</v>
      </c>
      <c r="I8" s="6" t="s">
        <v>37</v>
      </c>
      <c r="J8" s="9"/>
      <c r="K8" s="10"/>
    </row>
    <row r="9" customFormat="false" ht="69.75" hidden="false" customHeight="true" outlineLevel="0" collapsed="false">
      <c r="A9" s="4" t="n">
        <v>5</v>
      </c>
      <c r="B9" s="5" t="s">
        <v>38</v>
      </c>
      <c r="C9" s="6" t="s">
        <v>39</v>
      </c>
      <c r="D9" s="6" t="s">
        <v>40</v>
      </c>
      <c r="E9" s="6" t="s">
        <v>41</v>
      </c>
      <c r="F9" s="6" t="s">
        <v>42</v>
      </c>
      <c r="G9" s="7" t="s">
        <v>25</v>
      </c>
      <c r="H9" s="8" t="n">
        <v>5</v>
      </c>
      <c r="I9" s="6" t="s">
        <v>43</v>
      </c>
      <c r="J9" s="9"/>
      <c r="K9" s="10"/>
    </row>
    <row r="10" customFormat="false" ht="69.75" hidden="false" customHeight="true" outlineLevel="0" collapsed="false">
      <c r="A10" s="4" t="n">
        <v>6</v>
      </c>
      <c r="B10" s="5" t="s">
        <v>44</v>
      </c>
      <c r="C10" s="6" t="s">
        <v>45</v>
      </c>
      <c r="D10" s="6" t="s">
        <v>40</v>
      </c>
      <c r="E10" s="6" t="s">
        <v>46</v>
      </c>
      <c r="F10" s="6" t="s">
        <v>47</v>
      </c>
      <c r="G10" s="7" t="s">
        <v>18</v>
      </c>
      <c r="H10" s="8" t="n">
        <v>4</v>
      </c>
      <c r="I10" s="6" t="s">
        <v>48</v>
      </c>
      <c r="J10" s="9"/>
      <c r="K10" s="10"/>
    </row>
    <row r="11" customFormat="false" ht="69.75" hidden="false" customHeight="true" outlineLevel="0" collapsed="false">
      <c r="A11" s="4" t="n">
        <v>7</v>
      </c>
      <c r="B11" s="5" t="s">
        <v>49</v>
      </c>
      <c r="C11" s="6" t="s">
        <v>50</v>
      </c>
      <c r="D11" s="6" t="s">
        <v>51</v>
      </c>
      <c r="E11" s="6" t="s">
        <v>52</v>
      </c>
      <c r="F11" s="6" t="s">
        <v>53</v>
      </c>
      <c r="G11" s="7" t="s">
        <v>18</v>
      </c>
      <c r="H11" s="8" t="n">
        <v>4</v>
      </c>
      <c r="I11" s="6" t="s">
        <v>54</v>
      </c>
      <c r="J11" s="9"/>
      <c r="K11" s="10"/>
    </row>
    <row r="12" customFormat="false" ht="69.75" hidden="false" customHeight="true" outlineLevel="0" collapsed="false">
      <c r="A12" s="4" t="n">
        <v>8</v>
      </c>
      <c r="B12" s="5" t="s">
        <v>55</v>
      </c>
      <c r="C12" s="6" t="s">
        <v>56</v>
      </c>
      <c r="D12" s="6" t="s">
        <v>40</v>
      </c>
      <c r="E12" s="6" t="s">
        <v>57</v>
      </c>
      <c r="F12" s="6" t="s">
        <v>58</v>
      </c>
      <c r="G12" s="7" t="s">
        <v>18</v>
      </c>
      <c r="H12" s="8" t="n">
        <v>4</v>
      </c>
      <c r="I12" s="6" t="s">
        <v>59</v>
      </c>
      <c r="J12" s="9"/>
      <c r="K12" s="10"/>
    </row>
    <row r="13" customFormat="false" ht="69.75" hidden="false" customHeight="true" outlineLevel="0" collapsed="false">
      <c r="A13" s="4" t="n">
        <v>9</v>
      </c>
      <c r="B13" s="5" t="s">
        <v>60</v>
      </c>
      <c r="C13" s="6" t="s">
        <v>61</v>
      </c>
      <c r="D13" s="6" t="s">
        <v>62</v>
      </c>
      <c r="E13" s="6" t="s">
        <v>63</v>
      </c>
      <c r="F13" s="6" t="s">
        <v>64</v>
      </c>
      <c r="G13" s="7" t="s">
        <v>18</v>
      </c>
      <c r="H13" s="8" t="n">
        <v>3</v>
      </c>
      <c r="I13" s="6" t="s">
        <v>65</v>
      </c>
      <c r="J13" s="9"/>
      <c r="K13" s="10"/>
    </row>
    <row r="14" customFormat="false" ht="69.75" hidden="false" customHeight="true" outlineLevel="0" collapsed="false">
      <c r="A14" s="4" t="n">
        <v>10</v>
      </c>
      <c r="B14" s="5" t="s">
        <v>66</v>
      </c>
      <c r="C14" s="6" t="s">
        <v>67</v>
      </c>
      <c r="D14" s="6" t="s">
        <v>15</v>
      </c>
      <c r="E14" s="6" t="s">
        <v>68</v>
      </c>
      <c r="F14" s="6" t="s">
        <v>69</v>
      </c>
      <c r="G14" s="7" t="s">
        <v>18</v>
      </c>
      <c r="H14" s="8" t="n">
        <v>4</v>
      </c>
      <c r="I14" s="6" t="s">
        <v>70</v>
      </c>
      <c r="J14" s="9"/>
      <c r="K14" s="10"/>
    </row>
    <row r="15" customFormat="false" ht="69.75" hidden="false" customHeight="true" outlineLevel="0" collapsed="false">
      <c r="A15" s="4" t="n">
        <v>11</v>
      </c>
      <c r="B15" s="5" t="s">
        <v>71</v>
      </c>
      <c r="C15" s="6" t="s">
        <v>72</v>
      </c>
      <c r="D15" s="6" t="s">
        <v>73</v>
      </c>
      <c r="E15" s="6" t="s">
        <v>74</v>
      </c>
      <c r="F15" s="6" t="s">
        <v>75</v>
      </c>
      <c r="G15" s="7" t="s">
        <v>18</v>
      </c>
      <c r="H15" s="8" t="n">
        <v>4</v>
      </c>
      <c r="I15" s="6" t="s">
        <v>76</v>
      </c>
      <c r="J15" s="9"/>
      <c r="K15" s="10"/>
    </row>
    <row r="16" customFormat="false" ht="69.75" hidden="false" customHeight="true" outlineLevel="0" collapsed="false">
      <c r="A16" s="4" t="n">
        <v>12</v>
      </c>
      <c r="B16" s="5" t="s">
        <v>77</v>
      </c>
      <c r="C16" s="6" t="s">
        <v>78</v>
      </c>
      <c r="D16" s="6" t="s">
        <v>40</v>
      </c>
      <c r="E16" s="6" t="s">
        <v>79</v>
      </c>
      <c r="F16" s="6" t="s">
        <v>80</v>
      </c>
      <c r="G16" s="7" t="s">
        <v>18</v>
      </c>
      <c r="H16" s="8" t="n">
        <v>3</v>
      </c>
      <c r="I16" s="6" t="s">
        <v>81</v>
      </c>
      <c r="J16" s="9"/>
      <c r="K16" s="10"/>
    </row>
    <row r="17" customFormat="false" ht="69.75" hidden="false" customHeight="true" outlineLevel="0" collapsed="false">
      <c r="A17" s="4" t="n">
        <v>13</v>
      </c>
      <c r="B17" s="5" t="s">
        <v>82</v>
      </c>
      <c r="C17" s="6" t="s">
        <v>83</v>
      </c>
      <c r="D17" s="6" t="s">
        <v>29</v>
      </c>
      <c r="E17" s="6" t="s">
        <v>84</v>
      </c>
      <c r="F17" s="6" t="s">
        <v>85</v>
      </c>
      <c r="G17" s="7" t="s">
        <v>86</v>
      </c>
      <c r="H17" s="8" t="n">
        <v>3</v>
      </c>
      <c r="I17" s="6" t="s">
        <v>87</v>
      </c>
      <c r="J17" s="9"/>
      <c r="K17" s="10"/>
    </row>
    <row r="19" customFormat="false" ht="15" hidden="false" customHeight="false" outlineLevel="0" collapsed="false">
      <c r="A19" s="11" t="s">
        <v>88</v>
      </c>
      <c r="B19" s="11"/>
      <c r="C19" s="11"/>
      <c r="D19" s="11"/>
    </row>
    <row r="20" customFormat="false" ht="17.35" hidden="false" customHeight="false" outlineLevel="0" collapsed="false">
      <c r="A20" s="12" t="s">
        <v>89</v>
      </c>
      <c r="B20" s="13" t="n">
        <f aca="false">COUNTIF(J5:J17,"Sí")</f>
        <v>0</v>
      </c>
    </row>
    <row r="21" customFormat="false" ht="17.35" hidden="false" customHeight="false" outlineLevel="0" collapsed="false">
      <c r="A21" s="12" t="s">
        <v>90</v>
      </c>
      <c r="B21" s="14" t="n">
        <f aca="false">COUNTIF(J5:J17,"Tal vez")</f>
        <v>0</v>
      </c>
    </row>
    <row r="22" customFormat="false" ht="17.35" hidden="false" customHeight="false" outlineLevel="0" collapsed="false">
      <c r="A22" s="12" t="s">
        <v>91</v>
      </c>
      <c r="B22" s="15" t="n">
        <f aca="false">COUNTIF(J5:J17,"No")</f>
        <v>0</v>
      </c>
    </row>
    <row r="23" customFormat="false" ht="17.35" hidden="false" customHeight="false" outlineLevel="0" collapsed="false">
      <c r="A23" s="16" t="s">
        <v>92</v>
      </c>
      <c r="B23" s="17" t="n">
        <f aca="false">COUNTIF(J5:J17,"Sí")+COUNTIF(J5:J17,"Tal vez")</f>
        <v>0</v>
      </c>
    </row>
  </sheetData>
  <mergeCells count="3">
    <mergeCell ref="A1:K1"/>
    <mergeCell ref="A2:K2"/>
    <mergeCell ref="A19:D19"/>
  </mergeCells>
  <dataValidations count="1">
    <dataValidation allowBlank="true" errorStyle="stop" operator="between" showDropDown="false" showErrorMessage="false" showInputMessage="false" sqref="J5:J17" type="list">
      <formula1>"Sí,No,Tal vez"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6"/>
    <col collapsed="false" customWidth="true" hidden="false" outlineLevel="0" max="3" min="3" style="0" width="22"/>
    <col collapsed="false" customWidth="true" hidden="false" outlineLevel="0" max="5" min="4" style="0" width="4"/>
  </cols>
  <sheetData>
    <row r="1" customFormat="false" ht="27.75" hidden="false" customHeight="true" outlineLevel="0" collapsed="false">
      <c r="A1" s="1" t="s">
        <v>93</v>
      </c>
      <c r="B1" s="1"/>
      <c r="C1" s="1"/>
      <c r="D1" s="1"/>
      <c r="E1" s="1"/>
    </row>
    <row r="2" customFormat="false" ht="30" hidden="false" customHeight="true" outlineLevel="0" collapsed="false">
      <c r="A2" s="2" t="s">
        <v>94</v>
      </c>
      <c r="B2" s="2"/>
      <c r="C2" s="2"/>
      <c r="D2" s="2"/>
      <c r="E2" s="2"/>
    </row>
    <row r="4" customFormat="false" ht="15" hidden="false" customHeight="false" outlineLevel="0" collapsed="false">
      <c r="A4" s="18" t="s">
        <v>95</v>
      </c>
      <c r="B4" s="19" t="s">
        <v>96</v>
      </c>
      <c r="C4" s="19"/>
      <c r="D4" s="19"/>
      <c r="E4" s="19"/>
    </row>
    <row r="6" customFormat="false" ht="15" hidden="false" customHeight="false" outlineLevel="0" collapsed="false">
      <c r="A6" s="3" t="s">
        <v>2</v>
      </c>
      <c r="B6" s="3" t="s">
        <v>97</v>
      </c>
      <c r="C6" s="3" t="s">
        <v>98</v>
      </c>
    </row>
    <row r="8" customFormat="false" ht="15" hidden="false" customHeight="false" outlineLevel="0" collapsed="false">
      <c r="A8" s="20" t="s">
        <v>99</v>
      </c>
      <c r="B8" s="20"/>
      <c r="C8" s="20"/>
    </row>
    <row r="9" customFormat="false" ht="30" hidden="false" customHeight="true" outlineLevel="0" collapsed="false">
      <c r="A9" s="21" t="s">
        <v>100</v>
      </c>
      <c r="B9" s="22" t="s">
        <v>101</v>
      </c>
      <c r="C9" s="23"/>
    </row>
    <row r="10" customFormat="false" ht="30" hidden="false" customHeight="true" outlineLevel="0" collapsed="false">
      <c r="A10" s="21" t="s">
        <v>102</v>
      </c>
      <c r="B10" s="22" t="s">
        <v>103</v>
      </c>
      <c r="C10" s="23"/>
    </row>
    <row r="11" customFormat="false" ht="30" hidden="false" customHeight="true" outlineLevel="0" collapsed="false">
      <c r="A11" s="21" t="s">
        <v>104</v>
      </c>
      <c r="B11" s="22" t="s">
        <v>105</v>
      </c>
      <c r="C11" s="23"/>
    </row>
    <row r="12" customFormat="false" ht="30" hidden="false" customHeight="true" outlineLevel="0" collapsed="false">
      <c r="A12" s="21" t="s">
        <v>106</v>
      </c>
      <c r="B12" s="22" t="s">
        <v>107</v>
      </c>
      <c r="C12" s="23"/>
    </row>
    <row r="14" customFormat="false" ht="15" hidden="false" customHeight="false" outlineLevel="0" collapsed="false">
      <c r="A14" s="24" t="s">
        <v>108</v>
      </c>
      <c r="B14" s="24"/>
      <c r="C14" s="24"/>
    </row>
    <row r="15" customFormat="false" ht="30" hidden="false" customHeight="true" outlineLevel="0" collapsed="false">
      <c r="A15" s="25" t="s">
        <v>109</v>
      </c>
      <c r="B15" s="22" t="s">
        <v>110</v>
      </c>
      <c r="C15" s="23"/>
    </row>
    <row r="16" customFormat="false" ht="30" hidden="false" customHeight="true" outlineLevel="0" collapsed="false">
      <c r="A16" s="25" t="s">
        <v>111</v>
      </c>
      <c r="B16" s="22" t="s">
        <v>112</v>
      </c>
      <c r="C16" s="23"/>
    </row>
    <row r="17" customFormat="false" ht="30" hidden="false" customHeight="true" outlineLevel="0" collapsed="false">
      <c r="A17" s="25" t="s">
        <v>113</v>
      </c>
      <c r="B17" s="22" t="s">
        <v>114</v>
      </c>
      <c r="C17" s="23"/>
    </row>
    <row r="18" customFormat="false" ht="30" hidden="false" customHeight="true" outlineLevel="0" collapsed="false">
      <c r="A18" s="25" t="s">
        <v>115</v>
      </c>
      <c r="B18" s="22" t="s">
        <v>116</v>
      </c>
      <c r="C18" s="23"/>
    </row>
    <row r="20" customFormat="false" ht="15" hidden="false" customHeight="false" outlineLevel="0" collapsed="false">
      <c r="A20" s="24" t="s">
        <v>117</v>
      </c>
      <c r="B20" s="24"/>
      <c r="C20" s="24"/>
    </row>
    <row r="21" customFormat="false" ht="30" hidden="false" customHeight="true" outlineLevel="0" collapsed="false">
      <c r="A21" s="25" t="s">
        <v>118</v>
      </c>
      <c r="B21" s="22" t="s">
        <v>119</v>
      </c>
      <c r="C21" s="23"/>
    </row>
    <row r="22" customFormat="false" ht="30" hidden="false" customHeight="true" outlineLevel="0" collapsed="false">
      <c r="A22" s="25" t="s">
        <v>120</v>
      </c>
      <c r="B22" s="22" t="s">
        <v>121</v>
      </c>
      <c r="C22" s="23"/>
    </row>
    <row r="23" customFormat="false" ht="30" hidden="false" customHeight="true" outlineLevel="0" collapsed="false">
      <c r="A23" s="25" t="s">
        <v>122</v>
      </c>
      <c r="B23" s="22" t="s">
        <v>123</v>
      </c>
      <c r="C23" s="23"/>
    </row>
    <row r="24" customFormat="false" ht="30" hidden="false" customHeight="true" outlineLevel="0" collapsed="false">
      <c r="A24" s="25" t="s">
        <v>124</v>
      </c>
      <c r="B24" s="22" t="s">
        <v>125</v>
      </c>
      <c r="C24" s="23"/>
    </row>
    <row r="26" customFormat="false" ht="15" hidden="false" customHeight="false" outlineLevel="0" collapsed="false">
      <c r="A26" s="24" t="s">
        <v>126</v>
      </c>
      <c r="B26" s="24"/>
      <c r="C26" s="24"/>
    </row>
    <row r="27" customFormat="false" ht="30" hidden="false" customHeight="true" outlineLevel="0" collapsed="false">
      <c r="A27" s="25" t="s">
        <v>127</v>
      </c>
      <c r="B27" s="22" t="s">
        <v>128</v>
      </c>
      <c r="C27" s="23"/>
    </row>
    <row r="28" customFormat="false" ht="30" hidden="false" customHeight="true" outlineLevel="0" collapsed="false">
      <c r="A28" s="25" t="s">
        <v>129</v>
      </c>
      <c r="B28" s="22" t="s">
        <v>130</v>
      </c>
      <c r="C28" s="23"/>
    </row>
    <row r="29" customFormat="false" ht="30" hidden="false" customHeight="true" outlineLevel="0" collapsed="false">
      <c r="A29" s="25" t="s">
        <v>131</v>
      </c>
      <c r="B29" s="22" t="s">
        <v>132</v>
      </c>
      <c r="C29" s="23"/>
    </row>
    <row r="30" customFormat="false" ht="30" hidden="false" customHeight="true" outlineLevel="0" collapsed="false">
      <c r="A30" s="25" t="s">
        <v>133</v>
      </c>
      <c r="B30" s="22" t="s">
        <v>134</v>
      </c>
      <c r="C30" s="23"/>
    </row>
    <row r="33" customFormat="false" ht="16.15" hidden="false" customHeight="false" outlineLevel="0" collapsed="false">
      <c r="A33" s="26" t="s">
        <v>135</v>
      </c>
      <c r="B33" s="26"/>
      <c r="C33" s="26"/>
    </row>
    <row r="34" customFormat="false" ht="19.7" hidden="false" customHeight="false" outlineLevel="0" collapsed="false">
      <c r="A34" s="27" t="s">
        <v>136</v>
      </c>
      <c r="B34" s="28" t="n">
        <f aca="false">IFERROR(AVERAGE(C9:C12),0)</f>
        <v>0</v>
      </c>
      <c r="C34" s="29" t="str">
        <f aca="false">IF(B34=0,"Sin datos",IF(B34&gt;=3.5,"Pain ALTO",IF(B34&gt;=2.5,"Pain MEDIO","Pain BAJO")))</f>
        <v>No data</v>
      </c>
    </row>
    <row r="35" customFormat="false" ht="19.7" hidden="false" customHeight="false" outlineLevel="0" collapsed="false">
      <c r="A35" s="27" t="s">
        <v>137</v>
      </c>
      <c r="B35" s="30" t="n">
        <f aca="false">IFERROR(AVERAGE(C15:C18,C21:C24,C27:C30),0)</f>
        <v>0</v>
      </c>
      <c r="C35" s="29" t="str">
        <f aca="false">IF(B35=0,"Sin datos",IF(B35&gt;=3.5,"Readiness ALTA",IF(B35&gt;=2.5,"Readiness MEDIA","Readiness BAJA")))</f>
        <v> No data</v>
      </c>
    </row>
    <row r="37" customFormat="false" ht="31.5" hidden="false" customHeight="true" outlineLevel="0" collapsed="false">
      <c r="A37" s="31" t="s">
        <v>138</v>
      </c>
      <c r="B37" s="32" t="str">
        <f aca="false">IF(OR(B34=0,B35=0),"Completa primero el cuestionario",IF(AND(B34&gt;=3.5,B35&gt;=3.5),"QUICK WIN PRIORITARIO — Avanzar ahora",IF(AND(B34&gt;=3.5,B35&lt;3.5),"INVERTIR EN HABILITADORES — Pain alto pero falta readiness",IF(AND(B34&lt;3.5,B35&gt;=3.5),"OPORTUNIDAD SIN URGENCIA — Capacidad sí, pain no","AÚN NO ES MOMENTO — Construir capacidad antes"))))</f>
        <v> First, complete the questionnaire.</v>
      </c>
      <c r="C37" s="32"/>
    </row>
    <row r="40" customFormat="false" ht="15" hidden="false" customHeight="false" outlineLevel="0" collapsed="false">
      <c r="A40" s="2" t="s">
        <v>139</v>
      </c>
      <c r="B40" s="2"/>
      <c r="C40" s="2"/>
    </row>
    <row r="41" customFormat="false" ht="15" hidden="false" customHeight="false" outlineLevel="0" collapsed="false">
      <c r="A41" s="33" t="s">
        <v>140</v>
      </c>
      <c r="B41" s="34" t="n">
        <f aca="false">IFERROR(AVERAGE(C9:C12),0)</f>
        <v>0</v>
      </c>
    </row>
    <row r="42" customFormat="false" ht="15" hidden="false" customHeight="false" outlineLevel="0" collapsed="false">
      <c r="A42" s="33" t="s">
        <v>141</v>
      </c>
      <c r="B42" s="34" t="n">
        <f aca="false">IFERROR(AVERAGE(C15:C18),0)</f>
        <v>0</v>
      </c>
    </row>
    <row r="43" customFormat="false" ht="15" hidden="false" customHeight="false" outlineLevel="0" collapsed="false">
      <c r="A43" s="33" t="s">
        <v>142</v>
      </c>
      <c r="B43" s="34" t="n">
        <f aca="false">IFERROR(AVERAGE(C21:C24),0)</f>
        <v>0</v>
      </c>
    </row>
    <row r="44" customFormat="false" ht="15" hidden="false" customHeight="false" outlineLevel="0" collapsed="false">
      <c r="A44" s="33" t="s">
        <v>143</v>
      </c>
      <c r="B44" s="34" t="n">
        <f aca="false">IFERROR(AVERAGE(C27:C30),0)</f>
        <v>0</v>
      </c>
    </row>
    <row r="47" customFormat="false" ht="16.15" hidden="false" customHeight="false" outlineLevel="0" collapsed="false">
      <c r="A47" s="26" t="s">
        <v>144</v>
      </c>
      <c r="B47" s="26"/>
      <c r="C47" s="26"/>
      <c r="D47" s="26"/>
      <c r="E47" s="26"/>
    </row>
    <row r="48" customFormat="false" ht="26.85" hidden="false" customHeight="false" outlineLevel="0" collapsed="false">
      <c r="B48" s="3" t="s">
        <v>145</v>
      </c>
      <c r="C48" s="3" t="s">
        <v>146</v>
      </c>
    </row>
    <row r="49" customFormat="false" ht="30" hidden="false" customHeight="true" outlineLevel="0" collapsed="false">
      <c r="A49" s="3" t="s">
        <v>147</v>
      </c>
      <c r="B49" s="35" t="s">
        <v>148</v>
      </c>
      <c r="C49" s="36" t="s">
        <v>149</v>
      </c>
    </row>
    <row r="50" customFormat="false" ht="30" hidden="false" customHeight="true" outlineLevel="0" collapsed="false">
      <c r="A50" s="3" t="s">
        <v>150</v>
      </c>
      <c r="B50" s="37" t="s">
        <v>151</v>
      </c>
      <c r="C50" s="38" t="s">
        <v>152</v>
      </c>
    </row>
  </sheetData>
  <mergeCells count="11">
    <mergeCell ref="A1:E1"/>
    <mergeCell ref="A2:E2"/>
    <mergeCell ref="B4:E4"/>
    <mergeCell ref="A8:C8"/>
    <mergeCell ref="A14:C14"/>
    <mergeCell ref="A20:C20"/>
    <mergeCell ref="A26:C26"/>
    <mergeCell ref="A33:C33"/>
    <mergeCell ref="B37:C37"/>
    <mergeCell ref="A40:C40"/>
    <mergeCell ref="A47:E47"/>
  </mergeCells>
  <dataValidations count="1">
    <dataValidation allowBlank="true" error="Ingresa un valor entre 1 y 5" errorStyle="stop" errorTitle="Valor inválido" operator="between" showDropDown="false" showErrorMessage="false" showInputMessage="false" sqref="C9:C12 C15:C18 C21:C24 C27:C3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30"/>
  </cols>
  <sheetData>
    <row r="1" customFormat="false" ht="27.75" hidden="false" customHeight="true" outlineLevel="0" collapsed="false">
      <c r="A1" s="1" t="s">
        <v>153</v>
      </c>
      <c r="B1" s="1"/>
      <c r="C1" s="1"/>
      <c r="D1" s="1"/>
    </row>
    <row r="2" customFormat="false" ht="30" hidden="false" customHeight="true" outlineLevel="0" collapsed="false">
      <c r="A2" s="2" t="s">
        <v>154</v>
      </c>
      <c r="B2" s="2"/>
      <c r="C2" s="2"/>
      <c r="D2" s="2"/>
    </row>
    <row r="4" customFormat="false" ht="15" hidden="false" customHeight="true" outlineLevel="0" collapsed="false">
      <c r="A4" s="39" t="s">
        <v>155</v>
      </c>
      <c r="B4" s="39"/>
      <c r="C4" s="39"/>
      <c r="D4" s="39"/>
    </row>
    <row r="5" customFormat="false" ht="15" hidden="false" customHeight="true" outlineLevel="0" collapsed="false">
      <c r="A5" s="40" t="s">
        <v>156</v>
      </c>
      <c r="B5" s="40"/>
      <c r="C5" s="40"/>
      <c r="D5" s="40"/>
    </row>
    <row r="6" customFormat="false" ht="37.5" hidden="false" customHeight="true" outlineLevel="0" collapsed="false">
      <c r="A6" s="41" t="s">
        <v>157</v>
      </c>
      <c r="B6" s="41"/>
      <c r="C6" s="41"/>
      <c r="D6" s="41"/>
    </row>
    <row r="7" customFormat="false" ht="15" hidden="false" customHeight="true" outlineLevel="0" collapsed="false">
      <c r="A7" s="39" t="s">
        <v>158</v>
      </c>
      <c r="B7" s="39"/>
      <c r="C7" s="39"/>
      <c r="D7" s="39"/>
    </row>
    <row r="8" customFormat="false" ht="15" hidden="false" customHeight="true" outlineLevel="0" collapsed="false">
      <c r="A8" s="40" t="s">
        <v>159</v>
      </c>
      <c r="B8" s="40"/>
      <c r="C8" s="40"/>
      <c r="D8" s="40"/>
    </row>
    <row r="9" customFormat="false" ht="37.5" hidden="false" customHeight="true" outlineLevel="0" collapsed="false">
      <c r="A9" s="41" t="s">
        <v>160</v>
      </c>
      <c r="B9" s="41"/>
      <c r="C9" s="41"/>
      <c r="D9" s="41"/>
    </row>
    <row r="10" customFormat="false" ht="15" hidden="false" customHeight="true" outlineLevel="0" collapsed="false">
      <c r="A10" s="39" t="s">
        <v>161</v>
      </c>
      <c r="B10" s="39"/>
      <c r="C10" s="39"/>
      <c r="D10" s="39"/>
    </row>
    <row r="11" customFormat="false" ht="15" hidden="false" customHeight="true" outlineLevel="0" collapsed="false">
      <c r="A11" s="40" t="s">
        <v>162</v>
      </c>
      <c r="B11" s="40"/>
      <c r="C11" s="40"/>
      <c r="D11" s="40"/>
    </row>
    <row r="12" customFormat="false" ht="37.5" hidden="false" customHeight="true" outlineLevel="0" collapsed="false">
      <c r="A12" s="41" t="s">
        <v>163</v>
      </c>
      <c r="B12" s="41"/>
      <c r="C12" s="41"/>
      <c r="D12" s="41"/>
    </row>
    <row r="13" customFormat="false" ht="15" hidden="false" customHeight="true" outlineLevel="0" collapsed="false">
      <c r="A13" s="39" t="s">
        <v>164</v>
      </c>
      <c r="B13" s="39"/>
      <c r="C13" s="39"/>
      <c r="D13" s="39"/>
    </row>
    <row r="14" customFormat="false" ht="15" hidden="false" customHeight="true" outlineLevel="0" collapsed="false">
      <c r="A14" s="40" t="s">
        <v>165</v>
      </c>
      <c r="B14" s="40"/>
      <c r="C14" s="40"/>
      <c r="D14" s="40"/>
    </row>
    <row r="15" customFormat="false" ht="37.5" hidden="false" customHeight="true" outlineLevel="0" collapsed="false">
      <c r="A15" s="41" t="s">
        <v>166</v>
      </c>
      <c r="B15" s="41"/>
      <c r="C15" s="41"/>
      <c r="D15" s="41"/>
    </row>
    <row r="16" customFormat="false" ht="15" hidden="false" customHeight="true" outlineLevel="0" collapsed="false">
      <c r="A16" s="39" t="s">
        <v>167</v>
      </c>
      <c r="B16" s="39"/>
      <c r="C16" s="39"/>
      <c r="D16" s="39"/>
    </row>
    <row r="17" customFormat="false" ht="15" hidden="false" customHeight="true" outlineLevel="0" collapsed="false">
      <c r="A17" s="40" t="s">
        <v>168</v>
      </c>
      <c r="B17" s="40"/>
      <c r="C17" s="40"/>
      <c r="D17" s="40"/>
    </row>
    <row r="18" customFormat="false" ht="37.5" hidden="false" customHeight="true" outlineLevel="0" collapsed="false">
      <c r="A18" s="41" t="s">
        <v>169</v>
      </c>
      <c r="B18" s="41"/>
      <c r="C18" s="41"/>
      <c r="D18" s="41"/>
    </row>
    <row r="19" customFormat="false" ht="15" hidden="false" customHeight="true" outlineLevel="0" collapsed="false">
      <c r="A19" s="39" t="s">
        <v>170</v>
      </c>
      <c r="B19" s="39"/>
      <c r="C19" s="39"/>
      <c r="D19" s="39"/>
    </row>
    <row r="20" customFormat="false" ht="15" hidden="false" customHeight="true" outlineLevel="0" collapsed="false">
      <c r="A20" s="40" t="s">
        <v>171</v>
      </c>
      <c r="B20" s="40"/>
      <c r="C20" s="40"/>
      <c r="D20" s="40"/>
    </row>
    <row r="21" customFormat="false" ht="37.5" hidden="false" customHeight="true" outlineLevel="0" collapsed="false">
      <c r="A21" s="41" t="s">
        <v>172</v>
      </c>
      <c r="B21" s="41"/>
      <c r="C21" s="41"/>
      <c r="D21" s="41"/>
    </row>
    <row r="22" customFormat="false" ht="15" hidden="false" customHeight="true" outlineLevel="0" collapsed="false">
      <c r="A22" s="39" t="s">
        <v>173</v>
      </c>
      <c r="B22" s="39"/>
      <c r="C22" s="39"/>
      <c r="D22" s="39"/>
    </row>
    <row r="23" customFormat="false" ht="15" hidden="false" customHeight="true" outlineLevel="0" collapsed="false">
      <c r="A23" s="40" t="s">
        <v>174</v>
      </c>
      <c r="B23" s="40"/>
      <c r="C23" s="40"/>
      <c r="D23" s="40"/>
    </row>
    <row r="24" customFormat="false" ht="37.5" hidden="false" customHeight="true" outlineLevel="0" collapsed="false">
      <c r="A24" s="41" t="s">
        <v>175</v>
      </c>
      <c r="B24" s="41"/>
      <c r="C24" s="41"/>
      <c r="D24" s="41"/>
    </row>
    <row r="25" customFormat="false" ht="15" hidden="false" customHeight="true" outlineLevel="0" collapsed="false">
      <c r="A25" s="39" t="s">
        <v>176</v>
      </c>
      <c r="B25" s="39"/>
      <c r="C25" s="39"/>
      <c r="D25" s="39"/>
    </row>
    <row r="26" customFormat="false" ht="15" hidden="false" customHeight="true" outlineLevel="0" collapsed="false">
      <c r="A26" s="40" t="s">
        <v>177</v>
      </c>
      <c r="B26" s="40"/>
      <c r="C26" s="40"/>
      <c r="D26" s="40"/>
    </row>
    <row r="27" customFormat="false" ht="37.5" hidden="false" customHeight="true" outlineLevel="0" collapsed="false">
      <c r="A27" s="41" t="s">
        <v>178</v>
      </c>
      <c r="B27" s="41"/>
      <c r="C27" s="41"/>
      <c r="D27" s="41"/>
    </row>
    <row r="28" customFormat="false" ht="15" hidden="false" customHeight="true" outlineLevel="0" collapsed="false">
      <c r="A28" s="39" t="s">
        <v>179</v>
      </c>
      <c r="B28" s="39"/>
      <c r="C28" s="39"/>
      <c r="D28" s="39"/>
    </row>
    <row r="29" customFormat="false" ht="15" hidden="false" customHeight="true" outlineLevel="0" collapsed="false">
      <c r="A29" s="40" t="s">
        <v>180</v>
      </c>
      <c r="B29" s="40"/>
      <c r="C29" s="40"/>
      <c r="D29" s="40"/>
    </row>
    <row r="30" customFormat="false" ht="37.5" hidden="false" customHeight="true" outlineLevel="0" collapsed="false">
      <c r="A30" s="41" t="s">
        <v>181</v>
      </c>
      <c r="B30" s="41"/>
      <c r="C30" s="41"/>
      <c r="D30" s="41"/>
    </row>
    <row r="31" customFormat="false" ht="15" hidden="false" customHeight="true" outlineLevel="0" collapsed="false">
      <c r="A31" s="39" t="s">
        <v>182</v>
      </c>
      <c r="B31" s="39"/>
      <c r="C31" s="39"/>
      <c r="D31" s="39"/>
    </row>
    <row r="32" customFormat="false" ht="15" hidden="false" customHeight="true" outlineLevel="0" collapsed="false">
      <c r="A32" s="40" t="s">
        <v>183</v>
      </c>
      <c r="B32" s="40"/>
      <c r="C32" s="40"/>
      <c r="D32" s="40"/>
    </row>
    <row r="33" customFormat="false" ht="37.5" hidden="false" customHeight="true" outlineLevel="0" collapsed="false">
      <c r="A33" s="41" t="s">
        <v>184</v>
      </c>
      <c r="B33" s="41"/>
      <c r="C33" s="41"/>
      <c r="D33" s="41"/>
    </row>
    <row r="36" customFormat="false" ht="16.15" hidden="false" customHeight="false" outlineLevel="0" collapsed="false">
      <c r="A36" s="26" t="s">
        <v>185</v>
      </c>
      <c r="B36" s="26"/>
      <c r="C36" s="26"/>
      <c r="D36" s="26"/>
    </row>
    <row r="37" customFormat="false" ht="49.5" hidden="false" customHeight="true" outlineLevel="0" collapsed="false">
      <c r="A37" s="42" t="s">
        <v>186</v>
      </c>
      <c r="B37" s="42"/>
      <c r="C37" s="42"/>
      <c r="D37" s="42"/>
    </row>
  </sheetData>
  <mergeCells count="34">
    <mergeCell ref="A1:D1"/>
    <mergeCell ref="A2:D2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6:D36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2026-05-03T19:59:03Z</dcterms:created>
  <dc:creator>openpyxl</dc:creator>
  <dc:description/>
  <dc:language>en-US</dc:language>
  <cp:lastModifiedBy/>
  <dcterms:modified xsi:type="dcterms:W3CDTF">2026-05-03T19:59:03Z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